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"/>
    </mc:Choice>
  </mc:AlternateContent>
  <xr:revisionPtr revIDLastSave="0" documentId="13_ncr:1_{8F54AF64-0389-410A-8175-398BD74A39CA}" xr6:coauthVersionLast="47" xr6:coauthVersionMax="47" xr10:uidLastSave="{00000000-0000-0000-0000-000000000000}"/>
  <bookViews>
    <workbookView xWindow="-108" yWindow="-108" windowWidth="23256" windowHeight="12456" firstSheet="1" activeTab="5" xr2:uid="{E80EB9B6-40EB-4C1C-86E0-1C37F2E02A55}"/>
  </bookViews>
  <sheets>
    <sheet name="Penjabaran" sheetId="4" state="hidden" r:id="rId1"/>
    <sheet name="Master_DPA" sheetId="1" r:id="rId2"/>
    <sheet name="Penjabaran (2)" sheetId="5" state="hidden" r:id="rId3"/>
    <sheet name="Penjabaran (3)" sheetId="6" state="hidden" r:id="rId4"/>
    <sheet name="Bidang" sheetId="3" r:id="rId5"/>
    <sheet name="User" sheetId="2" r:id="rId6"/>
  </sheets>
  <externalReferences>
    <externalReference r:id="rId7"/>
    <externalReference r:id="rId8"/>
    <externalReference r:id="rId9"/>
  </externalReferences>
  <definedNames>
    <definedName name="\Z">#REF!</definedName>
    <definedName name="_xlnm.Print_Area">'[1]F-25.b LEMBAR CATATAN'!$A$3:$L$68</definedName>
    <definedName name="_xlnm.Print_Titles" localSheetId="0">Penjabaran!$12:$13</definedName>
    <definedName name="_xlnm.Print_Titles" localSheetId="2">'Penjabaran (2)'!$12:$13</definedName>
    <definedName name="_xlnm.Print_Titles" localSheetId="3">'Penjabaran (3)'!$12:$13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5" i="5" l="1"/>
  <c r="S254" i="6"/>
  <c r="R254" i="6"/>
  <c r="Q254" i="6"/>
  <c r="P254" i="6"/>
  <c r="O254" i="6"/>
  <c r="N254" i="6"/>
  <c r="M254" i="6"/>
  <c r="K241" i="6"/>
  <c r="K240" i="6"/>
  <c r="K239" i="6"/>
  <c r="K238" i="6"/>
  <c r="K226" i="6"/>
  <c r="K225" i="6" s="1"/>
  <c r="K223" i="6"/>
  <c r="K220" i="6"/>
  <c r="K218" i="6"/>
  <c r="K217" i="6"/>
  <c r="K216" i="6"/>
  <c r="K212" i="6"/>
  <c r="K211" i="6"/>
  <c r="K208" i="6"/>
  <c r="K207" i="6"/>
  <c r="K206" i="6" s="1"/>
  <c r="K205" i="6"/>
  <c r="K204" i="6" s="1"/>
  <c r="K203" i="6" s="1"/>
  <c r="K202" i="6"/>
  <c r="Q202" i="6" s="1"/>
  <c r="K198" i="6"/>
  <c r="K197" i="6"/>
  <c r="K196" i="6"/>
  <c r="K195" i="6"/>
  <c r="K193" i="6"/>
  <c r="K192" i="6"/>
  <c r="K191" i="6" s="1"/>
  <c r="K190" i="6"/>
  <c r="K189" i="6"/>
  <c r="K188" i="6"/>
  <c r="K186" i="6"/>
  <c r="K185" i="6"/>
  <c r="K184" i="6"/>
  <c r="K182" i="6"/>
  <c r="K181" i="6"/>
  <c r="K179" i="6" s="1"/>
  <c r="P180" i="6"/>
  <c r="K180" i="6"/>
  <c r="K178" i="6"/>
  <c r="Q177" i="6"/>
  <c r="K177" i="6"/>
  <c r="K176" i="6"/>
  <c r="K175" i="6"/>
  <c r="K174" i="6"/>
  <c r="K172" i="6" s="1"/>
  <c r="K173" i="6"/>
  <c r="K171" i="6"/>
  <c r="K170" i="6"/>
  <c r="K169" i="6"/>
  <c r="K168" i="6"/>
  <c r="K167" i="6"/>
  <c r="K166" i="6"/>
  <c r="K163" i="6"/>
  <c r="K162" i="6"/>
  <c r="K161" i="6"/>
  <c r="K160" i="6"/>
  <c r="K158" i="6"/>
  <c r="K157" i="6"/>
  <c r="K156" i="6"/>
  <c r="K155" i="6"/>
  <c r="K154" i="6"/>
  <c r="K152" i="6" s="1"/>
  <c r="K153" i="6"/>
  <c r="K151" i="6"/>
  <c r="K150" i="6"/>
  <c r="K149" i="6"/>
  <c r="K148" i="6"/>
  <c r="K147" i="6"/>
  <c r="K146" i="6" s="1"/>
  <c r="K145" i="6"/>
  <c r="Q145" i="6" s="1"/>
  <c r="K144" i="6"/>
  <c r="Y143" i="6"/>
  <c r="Y15" i="6" s="1"/>
  <c r="K143" i="6"/>
  <c r="K142" i="6"/>
  <c r="K141" i="6"/>
  <c r="K140" i="6"/>
  <c r="K139" i="6"/>
  <c r="K136" i="6"/>
  <c r="K133" i="6" s="1"/>
  <c r="K135" i="6"/>
  <c r="K134" i="6"/>
  <c r="K132" i="6"/>
  <c r="K131" i="6"/>
  <c r="K129" i="6"/>
  <c r="Q129" i="6" s="1"/>
  <c r="K128" i="6"/>
  <c r="K127" i="6"/>
  <c r="K125" i="6"/>
  <c r="K122" i="6" s="1"/>
  <c r="K124" i="6"/>
  <c r="K123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Q105" i="6" s="1"/>
  <c r="K103" i="6"/>
  <c r="K102" i="6"/>
  <c r="K101" i="6"/>
  <c r="K100" i="6"/>
  <c r="K99" i="6"/>
  <c r="V99" i="6" s="1"/>
  <c r="V15" i="6" s="1"/>
  <c r="K97" i="6"/>
  <c r="K96" i="6"/>
  <c r="K95" i="6"/>
  <c r="Q95" i="6" s="1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Q77" i="6" s="1"/>
  <c r="Q15" i="6" s="1"/>
  <c r="K76" i="6"/>
  <c r="K75" i="6"/>
  <c r="K74" i="6"/>
  <c r="K72" i="6"/>
  <c r="K71" i="6"/>
  <c r="K70" i="6"/>
  <c r="K69" i="6"/>
  <c r="K68" i="6"/>
  <c r="K67" i="6"/>
  <c r="K66" i="6"/>
  <c r="K65" i="6"/>
  <c r="K64" i="6"/>
  <c r="K63" i="6"/>
  <c r="K60" i="6"/>
  <c r="K59" i="6"/>
  <c r="K58" i="6"/>
  <c r="K57" i="6"/>
  <c r="K56" i="6"/>
  <c r="K55" i="6"/>
  <c r="K54" i="6"/>
  <c r="P54" i="6" s="1"/>
  <c r="K52" i="6"/>
  <c r="P52" i="6" s="1"/>
  <c r="K51" i="6"/>
  <c r="K50" i="6"/>
  <c r="K49" i="6"/>
  <c r="K48" i="6"/>
  <c r="K47" i="6"/>
  <c r="K46" i="6"/>
  <c r="K45" i="6"/>
  <c r="K44" i="6"/>
  <c r="K43" i="6"/>
  <c r="R43" i="6" s="1"/>
  <c r="K42" i="6"/>
  <c r="P42" i="6" s="1"/>
  <c r="K41" i="6"/>
  <c r="K40" i="6"/>
  <c r="K39" i="6" s="1"/>
  <c r="K38" i="6"/>
  <c r="K37" i="6"/>
  <c r="K36" i="6"/>
  <c r="K35" i="6"/>
  <c r="K34" i="6"/>
  <c r="K32" i="6"/>
  <c r="L31" i="6"/>
  <c r="K31" i="6"/>
  <c r="K30" i="6"/>
  <c r="K29" i="6" s="1"/>
  <c r="K28" i="6"/>
  <c r="K27" i="6"/>
  <c r="K26" i="6"/>
  <c r="K25" i="6"/>
  <c r="K24" i="6"/>
  <c r="R24" i="6" s="1"/>
  <c r="K23" i="6"/>
  <c r="R22" i="6"/>
  <c r="R15" i="6" s="1"/>
  <c r="K22" i="6"/>
  <c r="K21" i="6"/>
  <c r="P21" i="6" s="1"/>
  <c r="P20" i="6"/>
  <c r="K20" i="6"/>
  <c r="K19" i="6"/>
  <c r="K18" i="6"/>
  <c r="K17" i="6"/>
  <c r="K16" i="6"/>
  <c r="Z15" i="6"/>
  <c r="X15" i="6"/>
  <c r="W15" i="6"/>
  <c r="T15" i="6"/>
  <c r="S15" i="6"/>
  <c r="Z14" i="6"/>
  <c r="X14" i="6"/>
  <c r="W14" i="6"/>
  <c r="V14" i="6"/>
  <c r="T14" i="6"/>
  <c r="S14" i="6"/>
  <c r="R14" i="6"/>
  <c r="Q14" i="6"/>
  <c r="P14" i="6"/>
  <c r="V13" i="6"/>
  <c r="V10" i="6" s="1"/>
  <c r="O6" i="6"/>
  <c r="O4" i="6"/>
  <c r="O7" i="6" s="1"/>
  <c r="S91" i="5"/>
  <c r="R91" i="5"/>
  <c r="Q91" i="5"/>
  <c r="P91" i="5"/>
  <c r="O91" i="5"/>
  <c r="N91" i="5"/>
  <c r="M91" i="5"/>
  <c r="K78" i="5"/>
  <c r="K77" i="5"/>
  <c r="K76" i="5"/>
  <c r="K75" i="5"/>
  <c r="K63" i="5"/>
  <c r="K62" i="5" s="1"/>
  <c r="K60" i="5"/>
  <c r="K57" i="5"/>
  <c r="K55" i="5"/>
  <c r="K54" i="5"/>
  <c r="K53" i="5" s="1"/>
  <c r="K49" i="5"/>
  <c r="K48" i="5"/>
  <c r="K45" i="5"/>
  <c r="K44" i="5"/>
  <c r="Y15" i="5"/>
  <c r="V15" i="5"/>
  <c r="K16" i="5"/>
  <c r="K15" i="5"/>
  <c r="Z15" i="5"/>
  <c r="X15" i="5"/>
  <c r="W15" i="5"/>
  <c r="T15" i="5"/>
  <c r="S15" i="5"/>
  <c r="Z14" i="5"/>
  <c r="X14" i="5"/>
  <c r="W14" i="5"/>
  <c r="V14" i="5"/>
  <c r="T14" i="5"/>
  <c r="S14" i="5"/>
  <c r="R14" i="5"/>
  <c r="Q14" i="5"/>
  <c r="P14" i="5"/>
  <c r="V13" i="5"/>
  <c r="V10" i="5" s="1"/>
  <c r="O6" i="5"/>
  <c r="O4" i="5"/>
  <c r="K202" i="4"/>
  <c r="Q202" i="4" s="1"/>
  <c r="S254" i="4"/>
  <c r="R254" i="4"/>
  <c r="Q254" i="4"/>
  <c r="P254" i="4"/>
  <c r="O254" i="4"/>
  <c r="N254" i="4"/>
  <c r="M254" i="4"/>
  <c r="K241" i="4"/>
  <c r="K240" i="4"/>
  <c r="K239" i="4"/>
  <c r="K238" i="4"/>
  <c r="K226" i="4"/>
  <c r="K225" i="4" s="1"/>
  <c r="K223" i="4"/>
  <c r="K220" i="4"/>
  <c r="K218" i="4"/>
  <c r="K217" i="4"/>
  <c r="K216" i="4" s="1"/>
  <c r="K205" i="4"/>
  <c r="K204" i="4" s="1"/>
  <c r="K203" i="4" s="1"/>
  <c r="K196" i="4"/>
  <c r="K195" i="4"/>
  <c r="K190" i="4"/>
  <c r="K178" i="4"/>
  <c r="K176" i="4"/>
  <c r="K175" i="4"/>
  <c r="K170" i="4"/>
  <c r="K169" i="4"/>
  <c r="K167" i="4"/>
  <c r="K166" i="4"/>
  <c r="K156" i="4"/>
  <c r="K134" i="4"/>
  <c r="K131" i="4"/>
  <c r="K127" i="4"/>
  <c r="K125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3" i="4"/>
  <c r="K102" i="4"/>
  <c r="K96" i="4"/>
  <c r="K93" i="4"/>
  <c r="K92" i="4"/>
  <c r="K91" i="4"/>
  <c r="K90" i="4"/>
  <c r="K89" i="4"/>
  <c r="K87" i="4"/>
  <c r="K84" i="4"/>
  <c r="K81" i="4"/>
  <c r="K80" i="4"/>
  <c r="K72" i="4"/>
  <c r="K67" i="4"/>
  <c r="K66" i="4"/>
  <c r="K64" i="4"/>
  <c r="K59" i="4"/>
  <c r="K58" i="4"/>
  <c r="K54" i="4"/>
  <c r="P54" i="4" s="1"/>
  <c r="K38" i="4"/>
  <c r="K37" i="4"/>
  <c r="L31" i="4"/>
  <c r="K27" i="4"/>
  <c r="K25" i="4"/>
  <c r="K24" i="4"/>
  <c r="R24" i="4" s="1"/>
  <c r="K22" i="4"/>
  <c r="R22" i="4" s="1"/>
  <c r="Z15" i="4"/>
  <c r="W15" i="4"/>
  <c r="T15" i="4"/>
  <c r="S15" i="4"/>
  <c r="Z14" i="4"/>
  <c r="X14" i="4"/>
  <c r="W14" i="4"/>
  <c r="V14" i="4"/>
  <c r="T14" i="4"/>
  <c r="S14" i="4"/>
  <c r="R14" i="4"/>
  <c r="Q14" i="4"/>
  <c r="P14" i="4"/>
  <c r="V13" i="4"/>
  <c r="V12" i="4" s="1"/>
  <c r="O6" i="4"/>
  <c r="O4" i="4"/>
  <c r="V12" i="6" l="1"/>
  <c r="K159" i="6"/>
  <c r="K194" i="6"/>
  <c r="K201" i="6"/>
  <c r="K200" i="6" s="1"/>
  <c r="K199" i="6" s="1"/>
  <c r="K242" i="6"/>
  <c r="L254" i="6"/>
  <c r="K15" i="6"/>
  <c r="K14" i="6" s="1"/>
  <c r="K33" i="6"/>
  <c r="K53" i="6"/>
  <c r="K73" i="6"/>
  <c r="K130" i="6"/>
  <c r="K165" i="6"/>
  <c r="K164" i="6" s="1"/>
  <c r="K187" i="6"/>
  <c r="K222" i="6"/>
  <c r="Q222" i="6" s="1"/>
  <c r="AA14" i="6"/>
  <c r="K62" i="6"/>
  <c r="K104" i="6"/>
  <c r="K138" i="6"/>
  <c r="K137" i="6" s="1"/>
  <c r="K183" i="6"/>
  <c r="K215" i="6"/>
  <c r="K228" i="6" s="1"/>
  <c r="K229" i="6" s="1"/>
  <c r="K39" i="5"/>
  <c r="K37" i="5"/>
  <c r="K40" i="5"/>
  <c r="K59" i="5"/>
  <c r="Q59" i="5" s="1"/>
  <c r="Q15" i="5" s="1"/>
  <c r="O7" i="5"/>
  <c r="K23" i="5"/>
  <c r="K31" i="5"/>
  <c r="K32" i="5"/>
  <c r="K36" i="5"/>
  <c r="K18" i="5"/>
  <c r="V12" i="5"/>
  <c r="K25" i="5"/>
  <c r="K28" i="5"/>
  <c r="K19" i="5"/>
  <c r="K22" i="5"/>
  <c r="K21" i="5"/>
  <c r="K24" i="5"/>
  <c r="K30" i="5"/>
  <c r="K38" i="5"/>
  <c r="K52" i="5"/>
  <c r="K51" i="5" s="1"/>
  <c r="K17" i="5"/>
  <c r="K27" i="5"/>
  <c r="K35" i="5"/>
  <c r="AA14" i="5"/>
  <c r="K33" i="5"/>
  <c r="K41" i="5"/>
  <c r="K43" i="5"/>
  <c r="K42" i="5" s="1"/>
  <c r="K79" i="5"/>
  <c r="L91" i="5"/>
  <c r="O5" i="6"/>
  <c r="P18" i="6"/>
  <c r="P15" i="6" s="1"/>
  <c r="AA15" i="6" s="1"/>
  <c r="K126" i="6"/>
  <c r="O5" i="5"/>
  <c r="P15" i="5"/>
  <c r="K26" i="5"/>
  <c r="K222" i="4"/>
  <c r="Q222" i="4" s="1"/>
  <c r="K155" i="4"/>
  <c r="K141" i="4"/>
  <c r="K44" i="4"/>
  <c r="K46" i="4"/>
  <c r="K139" i="4"/>
  <c r="K215" i="4"/>
  <c r="K192" i="4"/>
  <c r="K147" i="4"/>
  <c r="K99" i="4"/>
  <c r="V99" i="4" s="1"/>
  <c r="K145" i="4"/>
  <c r="Q145" i="4" s="1"/>
  <c r="K43" i="4"/>
  <c r="R43" i="4" s="1"/>
  <c r="K71" i="4"/>
  <c r="K193" i="4"/>
  <c r="K42" i="4"/>
  <c r="P42" i="4" s="1"/>
  <c r="K140" i="4"/>
  <c r="K181" i="4"/>
  <c r="K23" i="4"/>
  <c r="K34" i="4"/>
  <c r="K56" i="4"/>
  <c r="K70" i="4"/>
  <c r="K76" i="4"/>
  <c r="K78" i="4"/>
  <c r="K82" i="4"/>
  <c r="K124" i="4"/>
  <c r="K135" i="4"/>
  <c r="K153" i="4"/>
  <c r="K161" i="4"/>
  <c r="K185" i="4"/>
  <c r="K198" i="4"/>
  <c r="K18" i="4"/>
  <c r="P18" i="4" s="1"/>
  <c r="K45" i="4"/>
  <c r="K57" i="4"/>
  <c r="K136" i="4"/>
  <c r="K188" i="4"/>
  <c r="K123" i="4"/>
  <c r="K40" i="4"/>
  <c r="K65" i="4"/>
  <c r="K79" i="4"/>
  <c r="K142" i="4"/>
  <c r="K144" i="4"/>
  <c r="K148" i="4"/>
  <c r="K160" i="4"/>
  <c r="K168" i="4"/>
  <c r="K174" i="4"/>
  <c r="K184" i="4"/>
  <c r="X15" i="4"/>
  <c r="K16" i="4"/>
  <c r="K48" i="4"/>
  <c r="K50" i="4"/>
  <c r="K55" i="4"/>
  <c r="K60" i="4"/>
  <c r="K100" i="4"/>
  <c r="K151" i="4"/>
  <c r="K154" i="4"/>
  <c r="K182" i="4"/>
  <c r="K186" i="4"/>
  <c r="K189" i="4"/>
  <c r="K208" i="4"/>
  <c r="K207" i="4" s="1"/>
  <c r="K206" i="4" s="1"/>
  <c r="K242" i="4"/>
  <c r="L254" i="4"/>
  <c r="K69" i="4"/>
  <c r="K129" i="4"/>
  <c r="Q129" i="4" s="1"/>
  <c r="K157" i="4"/>
  <c r="K163" i="4"/>
  <c r="K180" i="4"/>
  <c r="P180" i="4" s="1"/>
  <c r="K197" i="4"/>
  <c r="O7" i="4"/>
  <c r="AA14" i="4"/>
  <c r="K28" i="4"/>
  <c r="K35" i="4"/>
  <c r="K36" i="4"/>
  <c r="K49" i="4"/>
  <c r="K52" i="4"/>
  <c r="P52" i="4" s="1"/>
  <c r="K88" i="4"/>
  <c r="K143" i="4"/>
  <c r="Y143" i="4" s="1"/>
  <c r="Y15" i="4" s="1"/>
  <c r="K171" i="4"/>
  <c r="K177" i="4"/>
  <c r="Q177" i="4" s="1"/>
  <c r="K201" i="4"/>
  <c r="K200" i="4" s="1"/>
  <c r="K26" i="4"/>
  <c r="V10" i="4"/>
  <c r="O5" i="4"/>
  <c r="K17" i="4"/>
  <c r="K20" i="4"/>
  <c r="P20" i="4" s="1"/>
  <c r="K51" i="4"/>
  <c r="K31" i="4"/>
  <c r="K74" i="4"/>
  <c r="K77" i="4"/>
  <c r="Q77" i="4" s="1"/>
  <c r="K94" i="4"/>
  <c r="K21" i="4"/>
  <c r="P21" i="4" s="1"/>
  <c r="K68" i="4"/>
  <c r="K85" i="4"/>
  <c r="K105" i="4"/>
  <c r="K150" i="4"/>
  <c r="K86" i="4"/>
  <c r="K128" i="4"/>
  <c r="K95" i="4"/>
  <c r="Q95" i="4" s="1"/>
  <c r="K101" i="4"/>
  <c r="K132" i="4"/>
  <c r="K130" i="4" s="1"/>
  <c r="K173" i="4"/>
  <c r="K234" i="6" l="1"/>
  <c r="L256" i="6"/>
  <c r="K214" i="6"/>
  <c r="K61" i="6"/>
  <c r="AA15" i="5"/>
  <c r="K14" i="5"/>
  <c r="K34" i="5"/>
  <c r="K29" i="5"/>
  <c r="K65" i="5"/>
  <c r="K66" i="5" s="1"/>
  <c r="K71" i="5" s="1"/>
  <c r="K20" i="5"/>
  <c r="K228" i="4"/>
  <c r="K214" i="4"/>
  <c r="K133" i="4"/>
  <c r="K122" i="4"/>
  <c r="K158" i="4"/>
  <c r="K152" i="4" s="1"/>
  <c r="K191" i="4"/>
  <c r="K47" i="4"/>
  <c r="K32" i="4"/>
  <c r="K165" i="4"/>
  <c r="K41" i="4"/>
  <c r="K63" i="4"/>
  <c r="K62" i="4" s="1"/>
  <c r="K199" i="4"/>
  <c r="K30" i="4"/>
  <c r="K53" i="4"/>
  <c r="K162" i="4"/>
  <c r="K159" i="4" s="1"/>
  <c r="K194" i="4"/>
  <c r="K187" i="4"/>
  <c r="K183" i="4"/>
  <c r="K149" i="4"/>
  <c r="K146" i="4" s="1"/>
  <c r="K138" i="4"/>
  <c r="K33" i="4"/>
  <c r="K172" i="4"/>
  <c r="K179" i="4"/>
  <c r="K126" i="4"/>
  <c r="K75" i="4"/>
  <c r="K73" i="4" s="1"/>
  <c r="K19" i="4"/>
  <c r="K15" i="4" s="1"/>
  <c r="P15" i="4"/>
  <c r="R15" i="4"/>
  <c r="V15" i="4"/>
  <c r="Q105" i="4"/>
  <c r="K104" i="4"/>
  <c r="L93" i="5" l="1"/>
  <c r="K29" i="4"/>
  <c r="Q15" i="4"/>
  <c r="K39" i="4"/>
  <c r="K97" i="4"/>
  <c r="K83" i="4" s="1"/>
  <c r="K61" i="4" s="1"/>
  <c r="K164" i="4"/>
  <c r="K137" i="4"/>
  <c r="AA15" i="4"/>
  <c r="K14" i="4" l="1"/>
  <c r="K211" i="4"/>
  <c r="K212" i="4"/>
  <c r="K229" i="4" s="1"/>
  <c r="K234" i="4" l="1"/>
  <c r="L256" i="4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Macbook Andy</author>
  </authors>
  <commentList>
    <comment ref="H102" authorId="0" shapeId="0" xr:uid="{7FF41BC1-E079-4303-ACE2-993162402F7B}">
      <text>
        <r>
          <rPr>
            <b/>
            <sz val="9"/>
            <color indexed="81"/>
            <rFont val="Calibri"/>
            <family val="2"/>
          </rPr>
          <t>Macbook Andy:</t>
        </r>
        <r>
          <rPr>
            <sz val="9"/>
            <color indexed="81"/>
            <rFont val="Calibri"/>
            <family val="2"/>
          </rPr>
          <t xml:space="preserve">
Tambah Belanja Modal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Macbook Andy</author>
  </authors>
  <commentList>
    <comment ref="H102" authorId="0" shapeId="0" xr:uid="{DC5C7450-8A34-4771-AC9B-DF7233B97599}">
      <text>
        <r>
          <rPr>
            <b/>
            <sz val="9"/>
            <color indexed="81"/>
            <rFont val="Calibri"/>
            <family val="2"/>
          </rPr>
          <t>Macbook Andy:</t>
        </r>
        <r>
          <rPr>
            <sz val="9"/>
            <color indexed="81"/>
            <rFont val="Calibri"/>
            <family val="2"/>
          </rPr>
          <t xml:space="preserve">
Tambah Belanja Modal</t>
        </r>
      </text>
    </comment>
  </commentList>
</comments>
</file>

<file path=xl/sharedStrings.xml><?xml version="1.0" encoding="utf-8"?>
<sst xmlns="http://schemas.openxmlformats.org/spreadsheetml/2006/main" count="4854" uniqueCount="1147">
  <si>
    <t>Kode_Rekening</t>
  </si>
  <si>
    <t>Vol_Rencana</t>
  </si>
  <si>
    <t>Satuan_Rencana</t>
  </si>
  <si>
    <t>Anggaran_Rencana</t>
  </si>
  <si>
    <t>Sumber_Dana</t>
  </si>
  <si>
    <t>1.1.01.5.1.1.01.</t>
  </si>
  <si>
    <t>01. Penghasilan Tetap Kepala Desa</t>
  </si>
  <si>
    <t>Ls</t>
  </si>
  <si>
    <t>ADD</t>
  </si>
  <si>
    <t>1.1.01.5.1.1.02.</t>
  </si>
  <si>
    <t>01. Tunjangan Jabatan Kepala Desa</t>
  </si>
  <si>
    <t>1.1.02.5.1.2.01.01</t>
  </si>
  <si>
    <t>01. Penghasilan Tetap Sekretaris Desa</t>
  </si>
  <si>
    <t>Tahun</t>
  </si>
  <si>
    <t>1.1.02.5.1.2.01.02</t>
  </si>
  <si>
    <t>02. Penghasilan Tetap Kaur Keuangan</t>
  </si>
  <si>
    <t>Bulan</t>
  </si>
  <si>
    <t>1.1.02.5.1.2.01.03</t>
  </si>
  <si>
    <t>03. Penghasilan Tetap Kaur Perencanaan</t>
  </si>
  <si>
    <t>1.1.02.5.1.2.01.04</t>
  </si>
  <si>
    <t>04. Penghasilan Tetap Kaur Tata Usaha dan Umum</t>
  </si>
  <si>
    <t>1.1.02.5.1.2.01.05</t>
  </si>
  <si>
    <t>05. Penghasilan Tetap Kasi Kesejahteraan</t>
  </si>
  <si>
    <t>1.1.02.5.1.2.01.06</t>
  </si>
  <si>
    <t>06. Penghasilan Tetap Kasi Pemerintahan</t>
  </si>
  <si>
    <t>1.1.02.5.1.2.01.07</t>
  </si>
  <si>
    <t>07. Penghasilan Tetap Kasun Blok A</t>
  </si>
  <si>
    <t>1.1.02.5.1.2.01.08</t>
  </si>
  <si>
    <t>08. Penghasilan Tetap Kasun Blok B</t>
  </si>
  <si>
    <t>1.1.02.5.1.2.01.09</t>
  </si>
  <si>
    <t>09. Penghasilan Tetap Kasun Blok C</t>
  </si>
  <si>
    <t>1.1.02.5.1.2.01.10</t>
  </si>
  <si>
    <t>10. Penghasilan Tetap Kasi Pelayanan</t>
  </si>
  <si>
    <t>1.1.02.5.1.2.02.</t>
  </si>
  <si>
    <t>01. Tunjangan Jabatan 10 Orang Perangkat Desa</t>
  </si>
  <si>
    <t>1.1.03.5.1.3.02.</t>
  </si>
  <si>
    <t>01. Jaminan Kesehatan Perangkat Desa</t>
  </si>
  <si>
    <t>1.1.03.5.1.3.03.</t>
  </si>
  <si>
    <t>01. Jaminan Ketenagakerjaan dan JHT Kepala Desa</t>
  </si>
  <si>
    <t>1.1.03.5.1.3.04.01</t>
  </si>
  <si>
    <t>01. Jaminan Ketenagakerjaan Perangkat Desa</t>
  </si>
  <si>
    <t>1.1.03.5.1.3.04.02</t>
  </si>
  <si>
    <t>01. Jaminan Hari Tua Perangkat Desa</t>
  </si>
  <si>
    <t>1.1.03.5.1.3.04.03</t>
  </si>
  <si>
    <t>01. Jaminan Pensiun Perangkat Desa</t>
  </si>
  <si>
    <t>1.1.04.5.2.1.01.01</t>
  </si>
  <si>
    <t>ATK ADD- 01. Bolpoin Hitam</t>
  </si>
  <si>
    <t>Pack</t>
  </si>
  <si>
    <t>1.1.04.5.2.1.01.02</t>
  </si>
  <si>
    <t>ATK ADD- 02. Kertas F4</t>
  </si>
  <si>
    <t>rim</t>
  </si>
  <si>
    <t>1.1.04.5.2.1.01.03</t>
  </si>
  <si>
    <t>ATK ADD- 03. Tinta Epson</t>
  </si>
  <si>
    <t>Botol</t>
  </si>
  <si>
    <t>1.1.04.5.2.1.01.04</t>
  </si>
  <si>
    <t>ATK ADD- 04. Fotocopy</t>
  </si>
  <si>
    <t>lembar</t>
  </si>
  <si>
    <t>1.1.04.5.2.1.01.05</t>
  </si>
  <si>
    <t>ATK ADD- 05. Buku bergaris</t>
  </si>
  <si>
    <t>Lembar</t>
  </si>
  <si>
    <t>1.1.04.5.2.1.01.06</t>
  </si>
  <si>
    <t>ATK ADD- 06. Stofmap</t>
  </si>
  <si>
    <t>bh</t>
  </si>
  <si>
    <t>1.1.04.5.2.1.01.07</t>
  </si>
  <si>
    <t>Materai Pos dan Giro ADD - 01. Cek Giro Bank Jatim</t>
  </si>
  <si>
    <t>1.1.04.5.2.1.01.08</t>
  </si>
  <si>
    <t>Materai Pos dan Giro ADD - 02. Materai Pos 10000</t>
  </si>
  <si>
    <t>1.1.04.5.2.1.01.09</t>
  </si>
  <si>
    <t>01. Materai Pos dan Cek Giro BHP</t>
  </si>
  <si>
    <t>PBH</t>
  </si>
  <si>
    <t>1.1.04.5.2.1.01.10</t>
  </si>
  <si>
    <t>01. ATK BHP</t>
  </si>
  <si>
    <t>1.1.04.5.2.1.01.11</t>
  </si>
  <si>
    <t>01. ATK SDLL</t>
  </si>
  <si>
    <t>DLL</t>
  </si>
  <si>
    <t>1.1.04.5.2.1.01.12</t>
  </si>
  <si>
    <t>01. ATK SPADL</t>
  </si>
  <si>
    <t>PAD</t>
  </si>
  <si>
    <t>1.1.04.5.2.1.03.01</t>
  </si>
  <si>
    <t>Peralatan Rumah Tangga Pemdes - 01. Sapu Lantai</t>
  </si>
  <si>
    <t>1.1.04.5.2.1.03.02</t>
  </si>
  <si>
    <t>Peralatan Rumah Tangga Pemdes - 02. Sapu Lidi</t>
  </si>
  <si>
    <t>1.1.04.5.2.1.03.03</t>
  </si>
  <si>
    <t>Peralatan Rumah Tangga Pemdes - 03. PEL</t>
  </si>
  <si>
    <t>BH</t>
  </si>
  <si>
    <t>1.1.04.5.2.1.03.04</t>
  </si>
  <si>
    <t>Peralatan Rumah Tangga Pemdes - 04. SULAK</t>
  </si>
  <si>
    <t>1.1.04.5.2.1.03.05</t>
  </si>
  <si>
    <t>Peralatan Rumah Tangga Pemdes - 05. PEMBERSIH KAMAR MANDI</t>
  </si>
  <si>
    <t>1.1.04.5.2.1.03.06</t>
  </si>
  <si>
    <t>Peralatan Rumah Tangga Pemdes - 06. PEMBERSIH LANTAI</t>
  </si>
  <si>
    <t>1.1.04.5.2.1.03.07</t>
  </si>
  <si>
    <t>Peralatan Rumah Tangga Pemdes - 07. SABUN CUCI PIRING</t>
  </si>
  <si>
    <t>1.1.04.5.2.1.03.08</t>
  </si>
  <si>
    <t>Peralatan Rumah Tangga Pemdes - 08. SAPU SAWANG PANJANG</t>
  </si>
  <si>
    <t>1.1.04.5.2.1.03.09</t>
  </si>
  <si>
    <t>Peralatan Rumah Tangga Pemdes - 09. ISI GAS LPG</t>
  </si>
  <si>
    <t>Kali</t>
  </si>
  <si>
    <t>1.1.04.5.2.1.03.10</t>
  </si>
  <si>
    <t>Peralatan Rumah Tangga Pemdes - 10. Solar</t>
  </si>
  <si>
    <t>Liter</t>
  </si>
  <si>
    <t>1.1.04.5.2.1.03.11</t>
  </si>
  <si>
    <t>Peralatan Rumah Tangga Pemdes - 11. Pewangi Ruangan</t>
  </si>
  <si>
    <t>1.1.04.5.2.1.03.12</t>
  </si>
  <si>
    <t>Peralatan Rumah Tangga Pemdes - 14. Ember Sedang</t>
  </si>
  <si>
    <t>1.1.04.5.2.1.03.13</t>
  </si>
  <si>
    <t>Peralatan Rumah Tangga Pemdes - 15. Sikat WC</t>
  </si>
  <si>
    <t>1.1.04.5.2.1.03.14</t>
  </si>
  <si>
    <t>Peralatan Rumah Tangga Pemdes - 16. Tempat Sampah Besar</t>
  </si>
  <si>
    <t>1.1.04.5.2.1.03.15</t>
  </si>
  <si>
    <t>Peralatan Rumah Tangga Pemdes - 17. Keranjang Sampah Bambu</t>
  </si>
  <si>
    <t>1.1.04.5.2.1.03.16</t>
  </si>
  <si>
    <t>Peralatan Rumah Tangga Pemdes - 20. Gayung</t>
  </si>
  <si>
    <t>1.1.04.5.2.1.03.17</t>
  </si>
  <si>
    <t>Peralatan Rumah Tangga Pemdes - 22. Spons Cuci Piring</t>
  </si>
  <si>
    <t>1.1.04.5.2.1.03.18</t>
  </si>
  <si>
    <t>Peralatan Rumah Tangga Pemdes - 23. Pembersih Closet</t>
  </si>
  <si>
    <t>1.1.04.5.2.2.05.</t>
  </si>
  <si>
    <t>01. Jasa Honorarium Petugas Pajak PBB</t>
  </si>
  <si>
    <t>1.1.04.5.2.3.01.</t>
  </si>
  <si>
    <t>01. Perjalanan Dinas Dalam Kabupaten</t>
  </si>
  <si>
    <t>1.1.04.5.2.3.02.01</t>
  </si>
  <si>
    <t>01. Perjalanan Dinas Luar Kabupaten</t>
  </si>
  <si>
    <t>1.1.04.5.2.5.01.01</t>
  </si>
  <si>
    <t>01. Jasa Langganan Listrik Kantor Desa</t>
  </si>
  <si>
    <t>1.1.04.5.2.5.07.01</t>
  </si>
  <si>
    <t>01. Pajak Kendaraan Dinas</t>
  </si>
  <si>
    <t>1.1.04.5.2.5.07.02</t>
  </si>
  <si>
    <t>02. Pajak PBB di Luar Bengkok</t>
  </si>
  <si>
    <t>1.1.04.5.2.1.06.</t>
  </si>
  <si>
    <t>01. Air Minum Tamu (1 Bulan 3 Dus)</t>
  </si>
  <si>
    <t>Dus</t>
  </si>
  <si>
    <t>1.1.04.5.2.3.02.02</t>
  </si>
  <si>
    <t>Biaya Perjalanan Dinas ADD - 01. Biaya Perjalanan Dinas</t>
  </si>
  <si>
    <t>1.1.04.5.2.5.01.02</t>
  </si>
  <si>
    <t>01. Biaya Langganan Listrik Kantor Desa BHPR</t>
  </si>
  <si>
    <t>1.1.04.5.2.1.01.13</t>
  </si>
  <si>
    <t>ATK SADD - 01. Tinta Stempel</t>
  </si>
  <si>
    <t>1.1.04.5.2.1.01.14</t>
  </si>
  <si>
    <t>ATK SADD - 02. Tinta Stemped Yamura</t>
  </si>
  <si>
    <t>1.1.04.5.2.1.01.15</t>
  </si>
  <si>
    <t>ATK SADD - 03. Sticky Note Bsr</t>
  </si>
  <si>
    <t>1.1.04.5.2.1.01.16</t>
  </si>
  <si>
    <t>ATK SADD - 04. Stiky Note Kcl</t>
  </si>
  <si>
    <t>1.1.04.5.2.1.01.17</t>
  </si>
  <si>
    <t>ATK SADD - 05. Lem Stick</t>
  </si>
  <si>
    <t>1.1.04.5.2.1.01.18</t>
  </si>
  <si>
    <t>ATK SADD - 06. Penghapus</t>
  </si>
  <si>
    <t>1.1.05.5.1.4.01.01</t>
  </si>
  <si>
    <t>01. Ketua</t>
  </si>
  <si>
    <t>1.1.05.5.1.4.01.02</t>
  </si>
  <si>
    <t>02. Wakil Ketua</t>
  </si>
  <si>
    <t>1.1.05.5.1.4.01.03</t>
  </si>
  <si>
    <t>03. Sekretaris</t>
  </si>
  <si>
    <t>bulan</t>
  </si>
  <si>
    <t>1.1.05.5.1.4.01.04</t>
  </si>
  <si>
    <t>04. Anggota</t>
  </si>
  <si>
    <t>Orang</t>
  </si>
  <si>
    <t>1.1.06.5.2.1.01.</t>
  </si>
  <si>
    <t>01. ATK dan Benda Pos BPD</t>
  </si>
  <si>
    <t>1.1.06.5.2.1.06.</t>
  </si>
  <si>
    <t>01. Konsumsi Rapat BPD</t>
  </si>
  <si>
    <t>1.1.06.5.2.1.07.</t>
  </si>
  <si>
    <t>01. BPJS Ketenagakerjaan BPD</t>
  </si>
  <si>
    <t>1.1.06.5.2.1.09.</t>
  </si>
  <si>
    <t>01. Seragam BPD</t>
  </si>
  <si>
    <t>Bh</t>
  </si>
  <si>
    <t>1.1.06.5.2.3.01.</t>
  </si>
  <si>
    <t>1.1.06.5.2.3.02.01</t>
  </si>
  <si>
    <t>01. Perjalanan Dinas Luar Kabupaten ADD</t>
  </si>
  <si>
    <t>1.1.06.5.2.3.02.02</t>
  </si>
  <si>
    <t>01. Perjalanan Dinas Luar Kabupaten SADD</t>
  </si>
  <si>
    <t>1.1.07.5.2.5.08.</t>
  </si>
  <si>
    <t>01. Insentif / Operasional RT RW</t>
  </si>
  <si>
    <t>1.1.07.5.2.1.07.</t>
  </si>
  <si>
    <t>01. BPJS Ketenagakerjaan RT RW</t>
  </si>
  <si>
    <t>1.1.08.5.2.1.05.01</t>
  </si>
  <si>
    <t>01. Fotocopy Undangan</t>
  </si>
  <si>
    <t>DDS</t>
  </si>
  <si>
    <t>1.1.08.5.2.1.05.02</t>
  </si>
  <si>
    <t>02. Amplop Besar Undangan</t>
  </si>
  <si>
    <t>box</t>
  </si>
  <si>
    <t>1.1.08.5.2.1.06.01</t>
  </si>
  <si>
    <t>01. Tumpeng Panggang</t>
  </si>
  <si>
    <t>1.1.08.5.2.1.06.02</t>
  </si>
  <si>
    <t>02. Air Mineral 330ml</t>
  </si>
  <si>
    <t>1.1.08.5.2.1.06.03</t>
  </si>
  <si>
    <t>03. Buah</t>
  </si>
  <si>
    <t>Paket</t>
  </si>
  <si>
    <t>1.1.08.5.2.1.08.</t>
  </si>
  <si>
    <t>01. Benner Ukuran 3,5m x 2,5m</t>
  </si>
  <si>
    <t>1.1.08.5.2.2.05.</t>
  </si>
  <si>
    <t>01. Bisyaroh Imam Tahlil dan Imam Doa bersama</t>
  </si>
  <si>
    <t>1.1.08.5.2.4.02.</t>
  </si>
  <si>
    <t>01. Sewa Sound Sistem</t>
  </si>
  <si>
    <t>1.1.08.5.2.1.06.04</t>
  </si>
  <si>
    <t>01. Rapat Karangtaruna 3 Kali Pertemuan @30 orang</t>
  </si>
  <si>
    <t>kotak</t>
  </si>
  <si>
    <t>1.1.08.5.2.1.06.05</t>
  </si>
  <si>
    <t>02. Air Mineral</t>
  </si>
  <si>
    <t>dus</t>
  </si>
  <si>
    <t>1.1.08.5.2.1.90.</t>
  </si>
  <si>
    <t>01. Hadiah Lomba Agustusan</t>
  </si>
  <si>
    <t>1.1.90. 5.1.1.02.</t>
  </si>
  <si>
    <t>01. Tambahan Tunjangan Kepala Desa</t>
  </si>
  <si>
    <t>Bln</t>
  </si>
  <si>
    <t>1.1.91.5.1.2.99.01</t>
  </si>
  <si>
    <t>01. Tambahan Tunjangan Sekretaris Desa</t>
  </si>
  <si>
    <t>1.1.91.5.1.2.99.02</t>
  </si>
  <si>
    <t>02. Tambahan Tunjangan Kaur Keuangan</t>
  </si>
  <si>
    <t>1.1.91.5.1.2.99.03</t>
  </si>
  <si>
    <t>03. Tambahan Tunjangan Kaur Perencanaan</t>
  </si>
  <si>
    <t>1.1.91.5.1.2.99.04</t>
  </si>
  <si>
    <t>04. Tambahan Tunjangan Kaur Tata Usaha dan Umum</t>
  </si>
  <si>
    <t>1.1.91.5.1.2.99.05</t>
  </si>
  <si>
    <t>05. Tambahan Tunjangan Kasi Kesejahteraan</t>
  </si>
  <si>
    <t>1.1.91.5.1.2.99.06</t>
  </si>
  <si>
    <t>06. Tambahan Tunjangan Kasi Pemerintahan</t>
  </si>
  <si>
    <t>1.1.91.5.1.2.99.07</t>
  </si>
  <si>
    <t>07. Tambahan Tunjangan Kasun Blok A</t>
  </si>
  <si>
    <t>1.1.91.5.1.2.99.08</t>
  </si>
  <si>
    <t>08. Tambahan Tunjangan Kasun Blok B</t>
  </si>
  <si>
    <t>1.1.91.5.1.2.99.09</t>
  </si>
  <si>
    <t>09. Tambahan Tunjangan Kasun Blok C</t>
  </si>
  <si>
    <t>1.1.91.5.1.2.99.10</t>
  </si>
  <si>
    <t>01. Tunjangan Hari Raya 10 Perangkat desa</t>
  </si>
  <si>
    <t>1.1.91.5.1.2.99.11</t>
  </si>
  <si>
    <t>01. Tambahan Tunjangan Kasi Pelayanan Februari Maret</t>
  </si>
  <si>
    <t>1.1.91.5.1.2.99.12</t>
  </si>
  <si>
    <t>02. Tambahan Tunjangan Kasi Pelayanan April-Desember</t>
  </si>
  <si>
    <t>1.1.92.5.1.4.02.</t>
  </si>
  <si>
    <t>01. Tunjangan Kinerja BPD 5 Orang</t>
  </si>
  <si>
    <t>1.1.94.5.2.2.03.01</t>
  </si>
  <si>
    <t>01. Honorarium Karyawan Bersih Kantor</t>
  </si>
  <si>
    <t>1.1.94.5.2.2.03.02</t>
  </si>
  <si>
    <t>02. Honorarium Petugas Makam 2 Orang</t>
  </si>
  <si>
    <t>1.1.94.5.2.2.03.03</t>
  </si>
  <si>
    <t>03. Honorarium Panitia Sewa Lelang</t>
  </si>
  <si>
    <t>1.1.94.5.2.2.03.04</t>
  </si>
  <si>
    <t>04. Honorarium 3 Orang Modin Kematatian</t>
  </si>
  <si>
    <t>1.1.96.5.2.7.01.</t>
  </si>
  <si>
    <t>01. Jasa Purna Tugas Perangkat Desa Kaur Keuangan</t>
  </si>
  <si>
    <t>1.2.02.5.2.6.04.</t>
  </si>
  <si>
    <t>01. Pemeliharaan Gedung Kantor SPADL</t>
  </si>
  <si>
    <t>1.2.02.5.2.6.08.</t>
  </si>
  <si>
    <t>01. Pemeliharaan Jaringan Listrik SPADL</t>
  </si>
  <si>
    <t>1.3.02.5.2.1.06.01</t>
  </si>
  <si>
    <t>01. Profil Desa SPADL</t>
  </si>
  <si>
    <t>1.4.02.5.2.1.06.02</t>
  </si>
  <si>
    <t>01. Snack Rapat Desa PAD</t>
  </si>
  <si>
    <t>1.4.02.5.2.1.06.03</t>
  </si>
  <si>
    <t>01. Snack Rapat LPMD</t>
  </si>
  <si>
    <t>1.4.02.5.2.1.06.04</t>
  </si>
  <si>
    <t>01. Rapat Desa PADL</t>
  </si>
  <si>
    <t>1.4.02.5.2.1.06.05</t>
  </si>
  <si>
    <t>Musdes Insidental 1 kali SADD - 01. Nasi Box</t>
  </si>
  <si>
    <t>Kotak</t>
  </si>
  <si>
    <t>1.4.02.5.2.1.06.06</t>
  </si>
  <si>
    <t>Musdes Insidental 1 kali SADD - 01. Benner</t>
  </si>
  <si>
    <t>1.4.02.5.2.1.06.07</t>
  </si>
  <si>
    <t>Musdes Indeks Desa (BHP) - 01. Nasi Kotak +Air Mineral</t>
  </si>
  <si>
    <t>1.4.02.5.2.1.08.01</t>
  </si>
  <si>
    <t>Musdes Indeks Desa (BHP) - 01. Benner</t>
  </si>
  <si>
    <t>1.4.02.5.2.1.06.08</t>
  </si>
  <si>
    <t>Rapat Penyusunan RKP (BHPR) - 01. Snack Box (5 Kali Pertemuan)</t>
  </si>
  <si>
    <t>Box</t>
  </si>
  <si>
    <t>1.4.02.5.2.1.06.09</t>
  </si>
  <si>
    <t>Rapat Internal Pemdes (BHPR) - 01. Snack Box (1 Bulan 2 Kali Rapat)</t>
  </si>
  <si>
    <t>Bullan</t>
  </si>
  <si>
    <t>1.4.02.5.2.1.08.02</t>
  </si>
  <si>
    <t>Rapat Internal Pemdes (BHPR) - 01. Benner</t>
  </si>
  <si>
    <t>1.4.02.5.2.1.06.10</t>
  </si>
  <si>
    <t>Musrenbangdes RKP BHPR - 01. Nasi Kotak</t>
  </si>
  <si>
    <t>1.4.02.5.2.1.06.11</t>
  </si>
  <si>
    <t>Musrenbangdes RKP BHPR - 02. Snack Box</t>
  </si>
  <si>
    <t>1.4.02.5.2.1.06.12</t>
  </si>
  <si>
    <t>Musrenbangdes RKP BHPR - 03. Air Mineral 600ml</t>
  </si>
  <si>
    <t>1.4.02.5.2.1.08.03</t>
  </si>
  <si>
    <t>Musrenbangdes RKP BHPR - 01. Benner</t>
  </si>
  <si>
    <t>1.4.02.5.2.1.06.13</t>
  </si>
  <si>
    <t>Musdes Perencanaan Pembangunan SADD - 01. Nasi Kotak</t>
  </si>
  <si>
    <t>1.4.02.5.2.1.06.14</t>
  </si>
  <si>
    <t>Musdes Perencanaan Pembangunan SADD - 02. Snack</t>
  </si>
  <si>
    <t>1.4.02.5.2.1.06.15</t>
  </si>
  <si>
    <t>Musdes Perencanaan Pembangunan SADD - 03. Banner</t>
  </si>
  <si>
    <t>1.4.02.5.2.1.06.16</t>
  </si>
  <si>
    <t>Musdes Perubahan APBDes ke-1 SADD - 01. Nasi Kotak</t>
  </si>
  <si>
    <t>1.4.02.5.2.1.06.17</t>
  </si>
  <si>
    <t>Musdes Perubahan APBDes ke-1 SADD - 02. Snack</t>
  </si>
  <si>
    <t>1.4.02.5.2.1.08.04</t>
  </si>
  <si>
    <t>Musdes Perubahan APBDes ke-1 SADD - 01. Benner</t>
  </si>
  <si>
    <t>1.4.02.5.2.1.06.18</t>
  </si>
  <si>
    <t>Musdes Perubahan APBDes ke-2 SADD - 01. Nasi Kotak</t>
  </si>
  <si>
    <t>1.4.02.5.2.1.06.19</t>
  </si>
  <si>
    <t>Musdes Perubahan APBDes ke-2 SADD - 02. Snack</t>
  </si>
  <si>
    <t>1.4.02.5.2.1.08.05</t>
  </si>
  <si>
    <t>Musdes Perubahan APBDes ke-2 SADD - 01. Benner</t>
  </si>
  <si>
    <t>1.4.02.5.2.1.06.20</t>
  </si>
  <si>
    <t>Musdes APBDES Desember (BHPR) - 01. Nasi Kotak</t>
  </si>
  <si>
    <t>1.4.02.5.2.1.06.21</t>
  </si>
  <si>
    <t>Musdes APBDES Desember (BHPR) - 02. Snack</t>
  </si>
  <si>
    <t>1.4.02.5.2.1.08.06</t>
  </si>
  <si>
    <t>Musdes APBDES Desember (BHPR) - 01. Banner</t>
  </si>
  <si>
    <t>1.4.03.5.2.2.01.</t>
  </si>
  <si>
    <t>01. Honor Tim 11 dan Tim Verifikasi RKP Desa</t>
  </si>
  <si>
    <t>1.4.04.5.2.1.01.</t>
  </si>
  <si>
    <t>01. ATK Penyusunan LPJ PADL</t>
  </si>
  <si>
    <t>1.4.91.5.2.2.06.01</t>
  </si>
  <si>
    <t>01. Honor PKPKD Kepala Desa</t>
  </si>
  <si>
    <t>1.4.91.5.2.2.06.02</t>
  </si>
  <si>
    <t>02. Honor PPKD Sekdes</t>
  </si>
  <si>
    <t>1.4.91.5.2.2.06.03</t>
  </si>
  <si>
    <t>03. Honor PPKD Bendahara Desa</t>
  </si>
  <si>
    <t>1.4.91.5.2.2.06.04</t>
  </si>
  <si>
    <t>04. Honor PPKD Bidang Pemerintahan</t>
  </si>
  <si>
    <t>1.4.91.5.2.2.06.05</t>
  </si>
  <si>
    <t>05. Honor PPKD Bidang Pembangunan</t>
  </si>
  <si>
    <t>1.4.91.5.2.2.06.06</t>
  </si>
  <si>
    <t>06. Honor PPKD Bidang Pembinaan</t>
  </si>
  <si>
    <t>1.4.91.5.2.2.06.07</t>
  </si>
  <si>
    <t>07. Honor PPKD Bidang Pemberdayaan</t>
  </si>
  <si>
    <t>1.4.91.5.2.2.06.08</t>
  </si>
  <si>
    <t>08. Honor PPKD Bidang Penanggulangan Bencana</t>
  </si>
  <si>
    <t>1.4.91.5.2.2.06.09</t>
  </si>
  <si>
    <t>01. Kepala Desa PKPKD</t>
  </si>
  <si>
    <t>1.4.91.5.2.2.06.10</t>
  </si>
  <si>
    <t>02. Sekretaris Desa PPKD</t>
  </si>
  <si>
    <t>1.4.91.5.2.2.06.11</t>
  </si>
  <si>
    <t>03. Bendahara Desa PPKD</t>
  </si>
  <si>
    <t>1.4.91.5.2.2.06.12</t>
  </si>
  <si>
    <t>04. PPKD Bidang Pembangunan</t>
  </si>
  <si>
    <t>1.4.91.5.2.2.06.13</t>
  </si>
  <si>
    <t>05. PPKD Bidang Penanggulangan Bencana</t>
  </si>
  <si>
    <t>1.4.91.5.2.2.06.14</t>
  </si>
  <si>
    <t>06. PPKD Bidang Pemberdayaan Masyarakat</t>
  </si>
  <si>
    <t>1.4.91.5.2.2.02.01</t>
  </si>
  <si>
    <t>01. Honor Operator Siskeudes</t>
  </si>
  <si>
    <t>1.4.91.5.2.2.02.02</t>
  </si>
  <si>
    <t>02. Honor Operator Sibankeudes</t>
  </si>
  <si>
    <t>1.4.91.5.2.2.02.03</t>
  </si>
  <si>
    <t>03. Honor Operator SIPD</t>
  </si>
  <si>
    <t>1.4.91.5.2.2.02.04</t>
  </si>
  <si>
    <t>04. Honor Operator IDM</t>
  </si>
  <si>
    <t>Kegiatan</t>
  </si>
  <si>
    <t>1.4.91.5.2.2.02.05</t>
  </si>
  <si>
    <t>05. Honor Operator Website Desa</t>
  </si>
  <si>
    <t>1.4.91.5.2.2.02.06</t>
  </si>
  <si>
    <t>06. Honor Operator SIKS-NG</t>
  </si>
  <si>
    <t>1.4.91.5.2.2.02.07</t>
  </si>
  <si>
    <t>07. Honor Operator Prodeskel Epdeskel</t>
  </si>
  <si>
    <t>1.4.91.5.2.2.02.08</t>
  </si>
  <si>
    <t>08. Honor Operator SIAK</t>
  </si>
  <si>
    <t>1.4.91.5.2.2.02.09</t>
  </si>
  <si>
    <t>09. Honor Operator Coretax</t>
  </si>
  <si>
    <t>1.4.91.5.2.2.02.10</t>
  </si>
  <si>
    <t>10. Honor Operator Jaga Desa</t>
  </si>
  <si>
    <t>1.4.91.5.2.2.02.11</t>
  </si>
  <si>
    <t>11. Honor Operator Sipades</t>
  </si>
  <si>
    <t>2.1.01.5.2.2.03.01</t>
  </si>
  <si>
    <t>01. Jasa Honorarium Insentif Guru TK</t>
  </si>
  <si>
    <t>2.1.01.5.2.5.01.</t>
  </si>
  <si>
    <t>01. Listrik PAUD</t>
  </si>
  <si>
    <t>2.1.01.5.2.2.03.02</t>
  </si>
  <si>
    <t>01. Jasa Honorarium Insentif Guru PAUD 3 Orang @250rb</t>
  </si>
  <si>
    <t>Bulam</t>
  </si>
  <si>
    <t>2.1.01.5.2.2.03.03</t>
  </si>
  <si>
    <t>01. Jasa Honorarium Insentif Guru TPQ</t>
  </si>
  <si>
    <t>2.1.01.5.2.2.04.01</t>
  </si>
  <si>
    <t>01. Insentif Guru TK Bulan Januari</t>
  </si>
  <si>
    <t>2.1.01.5.2.2.04.02</t>
  </si>
  <si>
    <t>01. Insentif Guru PAUD Bulan Januari</t>
  </si>
  <si>
    <t>2.1.01.5.2.2.04.03</t>
  </si>
  <si>
    <t>01. Insentif Guru TPQ Bulan Januari</t>
  </si>
  <si>
    <t>2.2.02.5.2.1.06.01</t>
  </si>
  <si>
    <t>01. PMT Posyandu Balita Blok A Bulan Januari-Maret SDD</t>
  </si>
  <si>
    <t>Balita</t>
  </si>
  <si>
    <t>2.2.02.5.2.1.06.02</t>
  </si>
  <si>
    <t>03. PMT Posyandu Balita Blok B Bulan Januari-Maret SDD</t>
  </si>
  <si>
    <t>2.2.02.5.2.1.06.03</t>
  </si>
  <si>
    <t>04. PMT Posyandu Balita Blok C Bulan Januari-Maret SDD</t>
  </si>
  <si>
    <t>2.2.02.5.2.1.06.04</t>
  </si>
  <si>
    <t>01. PMT Tambahan PADL</t>
  </si>
  <si>
    <t>2.2.02.5.2.1.06.05</t>
  </si>
  <si>
    <t>01. PMT Balita Stunting Bulan Februari SDD</t>
  </si>
  <si>
    <t>Anak</t>
  </si>
  <si>
    <t>2.2.02.5.2.1.06.06</t>
  </si>
  <si>
    <t>02. PMT Ibu Hamil Bulan Februari SDD</t>
  </si>
  <si>
    <t>Bumil</t>
  </si>
  <si>
    <t>2.2.02.5.2.1.06.07</t>
  </si>
  <si>
    <t>2.2.02.5.2.1.06.08</t>
  </si>
  <si>
    <t>2.2.02.5.2.1.06.09</t>
  </si>
  <si>
    <t>2.2.02.5.2.1.06.10</t>
  </si>
  <si>
    <t>01. PMT Balita Stunting dan Ibu Hamil DD</t>
  </si>
  <si>
    <t>2.2.02.5.2.1.06.11</t>
  </si>
  <si>
    <t>01. Snack ILP per Orang Rp.6000</t>
  </si>
  <si>
    <t>2.2.02.5.2.1.01.01</t>
  </si>
  <si>
    <t>ATK Program Stunting - 01. Fotocopy /Penggandaan</t>
  </si>
  <si>
    <t>2.2.02.5.2.1.01.02</t>
  </si>
  <si>
    <t>ATK Program Stunting - 02. Bolpoin</t>
  </si>
  <si>
    <t>2.2.02.5.2.1.01.03</t>
  </si>
  <si>
    <t>ATK Program Stunting - 03. Tipe X</t>
  </si>
  <si>
    <t>2.2.02.5.2.1.01.04</t>
  </si>
  <si>
    <t>ATK Program Stunting - 04. Jilid</t>
  </si>
  <si>
    <t>2.2.02.5.2.1.01.05</t>
  </si>
  <si>
    <t>ATK Program Stunting - 05. Map File</t>
  </si>
  <si>
    <t>2.2.02.5.2.2.03.01</t>
  </si>
  <si>
    <t>01. Honorarium Kader PPKBD</t>
  </si>
  <si>
    <t>2.2.02.5.2.2.03.02</t>
  </si>
  <si>
    <t>01. Honor KPM Stunting 3 Orang</t>
  </si>
  <si>
    <t>2.2.02.5.2.1.07.</t>
  </si>
  <si>
    <t>01. Pembelian Kotak Makan Balita Posyandu A,B,C</t>
  </si>
  <si>
    <t>2.2.04.5.2.1.06.01</t>
  </si>
  <si>
    <t>01. Konsumsi Makan Kegiatan Fogging</t>
  </si>
  <si>
    <t>2.2.04.5.2.1.06.02</t>
  </si>
  <si>
    <t>02. Air Minum Fogging</t>
  </si>
  <si>
    <t>2.2.04.5.2.1.07.01</t>
  </si>
  <si>
    <t>01. Solar Fogging A,B,C</t>
  </si>
  <si>
    <t>2.2.04.5.2.1.07.02</t>
  </si>
  <si>
    <t>02. Bensin Fogging A,B,C</t>
  </si>
  <si>
    <t>2.2.04.5.2.1.08.</t>
  </si>
  <si>
    <t>01. Benner Fogging</t>
  </si>
  <si>
    <t>2.2.04.5.2.2.01.</t>
  </si>
  <si>
    <t>01. Honor Petugas Pemanggul 6 Kali Kegiatan Blok A,B,C</t>
  </si>
  <si>
    <t>2.2.05.5.2.1.07.</t>
  </si>
  <si>
    <t>01. PMI</t>
  </si>
  <si>
    <t>2.2.05.5.2.1.06.</t>
  </si>
  <si>
    <t>01. Konsumsi Kegiatan PIK Remaja</t>
  </si>
  <si>
    <t>2.3.02.5.2.6.05.</t>
  </si>
  <si>
    <t>01. Pemeliharaan Jalan Lingkungan Pemukiman</t>
  </si>
  <si>
    <t>2.3.03.5.2.6.05.</t>
  </si>
  <si>
    <t>01. Pemeliharaan Jalan Usaha Tani SPADL</t>
  </si>
  <si>
    <t>2.3.05.5.2.6.08.01</t>
  </si>
  <si>
    <t>Pemeliharaan Listrik Jalan Desa (PAD) - 01. Pembelian Lampu, Pitingan, Kabel</t>
  </si>
  <si>
    <t>2.3.05.5.2.6.07.</t>
  </si>
  <si>
    <t>01. Pemeliharaan Drainase Blok A PADL</t>
  </si>
  <si>
    <t>2.3.05.5.2.6.08.02</t>
  </si>
  <si>
    <t>Pemeliharaan Lampu Jalan Pemukiman SDD - 01. Lampu Philips 11 W LED</t>
  </si>
  <si>
    <t>2.3.05.5.2.6.08.03</t>
  </si>
  <si>
    <t>Pemeliharaan Lampu Jalan Pemukiman SDD - 02. Lampu Philips 12 W LED</t>
  </si>
  <si>
    <t>2.3.05.5.2.6.08.04</t>
  </si>
  <si>
    <t>Pemeliharaan Lampu Jalan Pemukiman SDD - 03. Kabel</t>
  </si>
  <si>
    <t>Meter</t>
  </si>
  <si>
    <t>2.3.05.5.2.6.08.05</t>
  </si>
  <si>
    <t>Pemeliharaan Lampu Jalan Pemukiman SDD - 04. Pitingan</t>
  </si>
  <si>
    <t>2.3.05.5.2.6.08.06</t>
  </si>
  <si>
    <t>Pemeliharaan Lampu Jalan Pemukiman SDD - 05. Lakban Hitam</t>
  </si>
  <si>
    <t>2.3.90.5.2.6.07.01</t>
  </si>
  <si>
    <t>01. PKT Saluran Pemukiman</t>
  </si>
  <si>
    <t>2.3.90.5.2.6.07.02</t>
  </si>
  <si>
    <t>01. PKT Saluran Sawah</t>
  </si>
  <si>
    <t>2.4.015.2.7.03.</t>
  </si>
  <si>
    <t>01. Dukungan Pelaksanaan Program RTLH (2 rumah)</t>
  </si>
  <si>
    <t>KPM</t>
  </si>
  <si>
    <t>2.6.02.5.2.1.07.</t>
  </si>
  <si>
    <t>01. Pemberitaan Media</t>
  </si>
  <si>
    <t>2.6.03.5.2.1.08.01</t>
  </si>
  <si>
    <t>01. Transaparansi APBDes DD</t>
  </si>
  <si>
    <t>2.6.03.5.2.1.08.02</t>
  </si>
  <si>
    <t>01. Transparansi APBdes SDD</t>
  </si>
  <si>
    <t>2.6.99.5.2.5.05.</t>
  </si>
  <si>
    <t>01. Langganan Internet Warga Desa</t>
  </si>
  <si>
    <t>2.7.02.5.3.2.99.01</t>
  </si>
  <si>
    <t>01. Pembelian Satu Paket Lampu PJU dan Tiang PJU (SD</t>
  </si>
  <si>
    <t>2.7.02.5.3.2.99.02</t>
  </si>
  <si>
    <t>01. Tenaga Kerja Pemasangangan Lampu PJU (DD)</t>
  </si>
  <si>
    <t>3.1.02.5.2.1.06.01</t>
  </si>
  <si>
    <t>Pelatihan Linmas - 01. Nasi Kotak</t>
  </si>
  <si>
    <t>3.1.02.5.2.1.06.02</t>
  </si>
  <si>
    <t>Pelatihan Linmas - 02. Air Mineral 600ml</t>
  </si>
  <si>
    <t>3.1.02.5.2.1.06.03</t>
  </si>
  <si>
    <t>Pelatihan Linmas - 03. Air Mineral 220ml</t>
  </si>
  <si>
    <t>3.1.02.5.2.1.08.</t>
  </si>
  <si>
    <t>Pelatihan Linmas - 01. Banner</t>
  </si>
  <si>
    <t>3.1.02.5.2.2.04.</t>
  </si>
  <si>
    <t>Pelatihan Linmas - 01. Honor Narasumber dari Koramil dan Polsek</t>
  </si>
  <si>
    <t>3.1.05.5.2.1.06.</t>
  </si>
  <si>
    <t>Penyediaan Pos Kesiapgaan SPADL - 01. Nasi dan Snack</t>
  </si>
  <si>
    <t>3.1.07.5.2.1.06.01</t>
  </si>
  <si>
    <t>Pelatihan/ Sosialisasi kpd Masyarakat di Bidang Hukum - 01. Nasi Kotak</t>
  </si>
  <si>
    <t>3.1.07.5.2.1.06.02</t>
  </si>
  <si>
    <t>Pelatihan/ Sosialisasi kpd Masyarakat di Bidang Hukum - 02. Snack</t>
  </si>
  <si>
    <t>3.1.07.5.2.1.06.03</t>
  </si>
  <si>
    <t>Pelatihan/ Sosialisasi kpd Masyarakat di Bidang Hukum - 03. Air Mineral 600 ml</t>
  </si>
  <si>
    <t>3.1.07.5.2.1.06.04</t>
  </si>
  <si>
    <t>Pelatihan/ Sosialisasi kpd Masyarakat di Bidang Hukum - 04. Air Mineral 220 ml</t>
  </si>
  <si>
    <t>3.1.07.5.2.1.08.</t>
  </si>
  <si>
    <t>Pelatihan/ Sosialisasi kpd Masyarakat di Bidang Hukum - 01. Benner</t>
  </si>
  <si>
    <t>3.1.07.5.2.2.04.</t>
  </si>
  <si>
    <t>Pelatihan/ Sosialisasi kpd Masyarakat di Bidang Hukum - 01. Honor Narasumber Pelatihan Sadarkum</t>
  </si>
  <si>
    <t>3.2.03.5.2.1.06.01</t>
  </si>
  <si>
    <t>Suronan BHPR - 01. Nasi Kotak</t>
  </si>
  <si>
    <t>3.2.03.5.2.1.90.</t>
  </si>
  <si>
    <t>01. Hadiah Agustusan Kec</t>
  </si>
  <si>
    <t>3.2.03.5.2.4.02.</t>
  </si>
  <si>
    <t>Takbir Keliling dan Tahlil di Makam BHPR - 01. Jasa Sewa Sound System, Jenset, Mic</t>
  </si>
  <si>
    <t>3.2.03.5.2.1.06.02</t>
  </si>
  <si>
    <t>Malam Tirakatan Hari Jadi Kabupaten BHP - 01. Tumpeng komplit</t>
  </si>
  <si>
    <t>3.2.03.5.2.1.06.03</t>
  </si>
  <si>
    <t>Malam Tirakatan Hari Jadi Kabupaten BHP - 02. Nasi Kotak</t>
  </si>
  <si>
    <t>3.2.03.5.2.1.06.04</t>
  </si>
  <si>
    <t>Malam Tirakatan Hari Jadi Kabupaten BHP - 03. Air Mineral 660ml</t>
  </si>
  <si>
    <t>3.2.03.5.2.1.08.01</t>
  </si>
  <si>
    <t>Malam Tirakatan Hari Jadi Kabupaten BHP - 01. Benner</t>
  </si>
  <si>
    <t>3.2.03.5.2.1.06.05</t>
  </si>
  <si>
    <t>Malam Tirakatan 17 Agustus BHP - 01. Tumpeng komplit</t>
  </si>
  <si>
    <t>3.2.03.5.2.1.06.06</t>
  </si>
  <si>
    <t>Malam Tirakatan 17 Agustus BHP - 02. Nasi Kotak</t>
  </si>
  <si>
    <t>3.2.03.5.2.1.06.07</t>
  </si>
  <si>
    <t>Malam Tirakatan 17 Agustus BHP - 04. Air Mineral 660ml</t>
  </si>
  <si>
    <t>3.2.03.5.2.1.08.02</t>
  </si>
  <si>
    <t>Malam Tirakatan 17 Agustus BHP - 01. Benner</t>
  </si>
  <si>
    <t>3.2.03.5.2.1.08.03</t>
  </si>
  <si>
    <t>Umbul-Umbul, Benner Hari Jadi Ngawi BHP - 01. Benner Hari Jadi Ngawi Uk. 2 M x 2,5 M</t>
  </si>
  <si>
    <t>3.2.03.5.2.1.08.04</t>
  </si>
  <si>
    <t>Umbul-Umbul, Benner Hari Jadi Ngawi BHP - 02. Umbul-Umbul Hari Jadi Ngawi ke 668th</t>
  </si>
  <si>
    <t>3.2.03.5.2.1.08.05</t>
  </si>
  <si>
    <t>Umbul-Umbul, Benner Hari Jadi Ngawi BHP - 03. Benner Hari Jadi Ngawi Uk 2mx1m</t>
  </si>
  <si>
    <t>3.2.03.5.2.1.08.06</t>
  </si>
  <si>
    <t>Umbul-Umbul dan Bendera Agustusan BHP - 01. Umbul-Umbul Renda Uk. 9,6 M</t>
  </si>
  <si>
    <t>3.2.03.5.2.1.08.07</t>
  </si>
  <si>
    <t>Umbul-Umbul dan Bendera Agustusan BHP - 02. Umbul-umbul layur berdiri</t>
  </si>
  <si>
    <t>3.2.03.5.2.1.08.08</t>
  </si>
  <si>
    <t>Umbul-Umbul dan Bendera Agustusan BHP - 03. Bendera Merah Putih Bsr</t>
  </si>
  <si>
    <t>3.2.03.5.2.1.06.08</t>
  </si>
  <si>
    <t>PHBI DLL - 01. Snack</t>
  </si>
  <si>
    <t>3.2.04.5.2.6.04.01</t>
  </si>
  <si>
    <t>Pemeliharaan Masjid dan Mushola - 01. Cat Tembok 5 Kg</t>
  </si>
  <si>
    <t>3.2.04.5.2.6.04.02</t>
  </si>
  <si>
    <t>Pemeliharaan Masjid dan Mushola - 02. Kuas</t>
  </si>
  <si>
    <t>3.2.04.5.2.6.04.03</t>
  </si>
  <si>
    <t>Pemeliharaan Masjid dan Mushola - 03. Cat tembok 5Kg (Masjid)</t>
  </si>
  <si>
    <t>3.2.04.5.2.6.04.04</t>
  </si>
  <si>
    <t>Pemeliharaan Masjid dan Mushola - 04. Kuas (masjid)</t>
  </si>
  <si>
    <t>3.2.04.5.2.6.04.05</t>
  </si>
  <si>
    <t>Pemeliharaan Makam (Beli Kabel ) - 01. Kabel Engkel</t>
  </si>
  <si>
    <t>Roll</t>
  </si>
  <si>
    <t>3.2.04.5.2.6.04.06</t>
  </si>
  <si>
    <t>Pemeliharaan Makam (Beli Kabel ) - 02. Lampu 24 watt</t>
  </si>
  <si>
    <t>3.2.04.5.2.6.04.07</t>
  </si>
  <si>
    <t>Pemeliharaan Makam (Beli Kabel ) - 03. Pitingan Lampu gantung</t>
  </si>
  <si>
    <t>3.2.04.5.2.6.04.08</t>
  </si>
  <si>
    <t>Pemeliharaan Makam (Beli Kabel ) - 04. Solasi</t>
  </si>
  <si>
    <t>3.2.04.5.2.6.04.09</t>
  </si>
  <si>
    <t>Pemeliharaan Kebersihan Makam BHP - 01. Pembersihan Makam (Obat Rumput)</t>
  </si>
  <si>
    <t>3.3.06.5.2.7.01.01</t>
  </si>
  <si>
    <t>Pembelian Peralatan Olahraga Karangtaruna BHP - 01. Bola Voly</t>
  </si>
  <si>
    <t>3.3.06.5.2.7.01.02</t>
  </si>
  <si>
    <t>Pembelian Peralatan Olahraga Karangtaruna BHP - 02. Nett Voly</t>
  </si>
  <si>
    <t>3.4.03.5.2.1.01.01</t>
  </si>
  <si>
    <t>ATK PKK BHPR - 01. Buku PKK</t>
  </si>
  <si>
    <t>3.4.03.5.2.1.01.02</t>
  </si>
  <si>
    <t>ATK PKK BHPR - 02. Bolpoint</t>
  </si>
  <si>
    <t>pcs</t>
  </si>
  <si>
    <t>3.4.03.5.2.1.01.03</t>
  </si>
  <si>
    <t>ATK PKK BHPR - 03. Stopmap</t>
  </si>
  <si>
    <t>3.4.03.5.2.1.01.04</t>
  </si>
  <si>
    <t>ATK PKK BHPR - 04. Tipe X</t>
  </si>
  <si>
    <t>3.4.03.5.2.1.05.</t>
  </si>
  <si>
    <t>ATK PKK BHPR - 01. Fotocopy</t>
  </si>
  <si>
    <t>3.4.03.5.2.1.06.01</t>
  </si>
  <si>
    <t>01. Rapat Pleno Pkk Desa</t>
  </si>
  <si>
    <t>3.4.03.5.2.1.06.02</t>
  </si>
  <si>
    <t>02. Konsumsi Rapat Pleno Kecamatan</t>
  </si>
  <si>
    <t>3.4.03.5.2.3.01.</t>
  </si>
  <si>
    <t>01. Operasional LKD</t>
  </si>
  <si>
    <t>4.2.01.5.2.6.99.01</t>
  </si>
  <si>
    <t>01. Upah PKT Gropyok Tikus 1 Musim SDD</t>
  </si>
  <si>
    <t>4.2.01.5.2.6.99.02</t>
  </si>
  <si>
    <t>01. Gropyok Tikus 2 Musim DD</t>
  </si>
  <si>
    <t>Musim</t>
  </si>
  <si>
    <t>4.2.03.5.2.1.07.01</t>
  </si>
  <si>
    <t>Gema Parut - 01. Bibit - Biji</t>
  </si>
  <si>
    <t>kg</t>
  </si>
  <si>
    <t>4.2.03.5.2.1.07.02</t>
  </si>
  <si>
    <t>Gema Parut - 02. Tanah Hitam</t>
  </si>
  <si>
    <t>sak</t>
  </si>
  <si>
    <t>4.2.03.5.2.1.07.03</t>
  </si>
  <si>
    <t>Gema Parut - 03. Pupuk Organik</t>
  </si>
  <si>
    <t>4.2.03.5.2.1.07.04</t>
  </si>
  <si>
    <t>Gema Parut - 04. Cocopeat</t>
  </si>
  <si>
    <t>Karung</t>
  </si>
  <si>
    <t>4.2.03.5.2.1.07.05</t>
  </si>
  <si>
    <t>Gema Parut - 05. Sekam</t>
  </si>
  <si>
    <t>4.2.03.5.3.4.02.</t>
  </si>
  <si>
    <t>Gema Parut - 01. Upah Pekerja</t>
  </si>
  <si>
    <t>HOK</t>
  </si>
  <si>
    <t>4.2.03.5.3.4.03.01</t>
  </si>
  <si>
    <t>Gema Parut - 01. Hollow galvanis 40 x 40 (rangka utama)</t>
  </si>
  <si>
    <t>batang</t>
  </si>
  <si>
    <t>4.2.03.5.3.4.03.02</t>
  </si>
  <si>
    <t>Gema Parut - 02. Hollow galvanis 20x40 (reng/pengikat)</t>
  </si>
  <si>
    <t>Batang</t>
  </si>
  <si>
    <t>4.2.03.5.3.4.03.03</t>
  </si>
  <si>
    <t>Gema Parut - 03. Baut SDS / sekrup roofing</t>
  </si>
  <si>
    <t>4.2.03.5.3.4.03.04</t>
  </si>
  <si>
    <t>Gema Parut - 04. Plastik UV greenhouse</t>
  </si>
  <si>
    <t>4.2.03.5.3.4.03.05</t>
  </si>
  <si>
    <t>Gema Parut - 05. Paranet 65%</t>
  </si>
  <si>
    <t>M2</t>
  </si>
  <si>
    <t>4.2.03.5.3.4.03.06</t>
  </si>
  <si>
    <t>Gema Parut - 06. Kawat bendrat / clamp pengikat</t>
  </si>
  <si>
    <t>4.2.03.5.3.4.03.07</t>
  </si>
  <si>
    <t>Gema Parut - 07. Selang 3/4 Dim</t>
  </si>
  <si>
    <t>roll</t>
  </si>
  <si>
    <t>4.2.03.5.3.4.03.08</t>
  </si>
  <si>
    <t>Gema Parut - 08. Papan buat meja</t>
  </si>
  <si>
    <t>meter</t>
  </si>
  <si>
    <t>4.2.05.5.2.1.06.</t>
  </si>
  <si>
    <t>Pelatihan Teknologi Tepat Guna untuk Pertanian - 01. Nasi Kotak dan Snack</t>
  </si>
  <si>
    <t>4.2.05.5.2.1.07.</t>
  </si>
  <si>
    <t>Pelatihan Teknologi Tepat Guna untuk Pertanian - 01. Belanja Bahan Pelatihan</t>
  </si>
  <si>
    <t>4.2.05.5.2.2.04.</t>
  </si>
  <si>
    <t>Pelatihan Teknologi Tepat Guna untuk Pertanian - 01. Honor Narasumber Pelatihan</t>
  </si>
  <si>
    <t>4.2.05.5.2.2.05.</t>
  </si>
  <si>
    <t>Pelatihan Teknologi Tepat Guna untuk Pertanian - 01. Jasa Kebersihan</t>
  </si>
  <si>
    <t>4.2.05.5.2.2.08.</t>
  </si>
  <si>
    <t>Pelatihan Teknologi Tepat Guna untuk Pertanian - 01. Honor peserta Bimbingan Pelatihan</t>
  </si>
  <si>
    <t>4.5.02.5.3.4.01.01</t>
  </si>
  <si>
    <t>Dukungan KDMP Pengurugan Lahan Siap Pakai DD - 01. Honor Penanggung Jawab</t>
  </si>
  <si>
    <t>4.5.02.5.3.4.01.02</t>
  </si>
  <si>
    <t>Dukungan KDMP Pengurugan Lahan Siap Pakai DD - 03. Honor Sekretaris</t>
  </si>
  <si>
    <t>4.5.02.5.3.4.02.</t>
  </si>
  <si>
    <t>Dukungan KDMP Pengurugan Lahan Siap Pakai DD - 01. Pekerja</t>
  </si>
  <si>
    <t>oh</t>
  </si>
  <si>
    <t>4.5.02.5.3.4.03.01</t>
  </si>
  <si>
    <t>Dukungan KDMP Pengurugan Lahan Siap Pakai DD - 01. Tanah Urug Pilihan</t>
  </si>
  <si>
    <t>M3</t>
  </si>
  <si>
    <t>4.5.02.5.3.4.03.02</t>
  </si>
  <si>
    <t>Dukungan KDMP Pengurugan Lahan Siap Pakai DD - 02. Papan Nama Kegiatan</t>
  </si>
  <si>
    <t>4.5.02.5.3.4.03.03</t>
  </si>
  <si>
    <t>Dukungan KDMP Pengurugan Lahan Siap Pakai DD - 03. Prasasti</t>
  </si>
  <si>
    <t>4.5.02.5.2.2.01.01</t>
  </si>
  <si>
    <t>Dukungan KDMP Pengurugan Lahan Siap Pakai DD - 01. Ketua TPK</t>
  </si>
  <si>
    <t>4.5.02.5.2.2.01.02</t>
  </si>
  <si>
    <t>Dukungan KDMP Pengurugan Lahan Siap Pakai DD - 02. Anggota TPK</t>
  </si>
  <si>
    <t>5.1.00.5.4.1.01.</t>
  </si>
  <si>
    <t>01. Penanggulangan Bencana</t>
  </si>
  <si>
    <t>5.3.00.5.4.1.01.01</t>
  </si>
  <si>
    <t>01. BLT DD Bulan Januari</t>
  </si>
  <si>
    <t>5.3.00.5.4.1.01.02</t>
  </si>
  <si>
    <t>02. BLT DD Februari</t>
  </si>
  <si>
    <t>5.3.00.5.4.1.01.03</t>
  </si>
  <si>
    <t>03. BLT DD MAret</t>
  </si>
  <si>
    <t>5.3.00.5.4.1.01.04</t>
  </si>
  <si>
    <t>04. BLT DD April</t>
  </si>
  <si>
    <t>5.3.00.5.4.1.01.05</t>
  </si>
  <si>
    <t>05. BLT DD Mei</t>
  </si>
  <si>
    <t>5.3.00.5.4.1.01.06</t>
  </si>
  <si>
    <t>06. BLT DD Juni</t>
  </si>
  <si>
    <t>5.3.00.5.4.1.01.07</t>
  </si>
  <si>
    <t>07. BLT DD Juli</t>
  </si>
  <si>
    <t>5.3.00.5.4.1.01.08</t>
  </si>
  <si>
    <t>08. BLT DD Agustus</t>
  </si>
  <si>
    <t>5.3.00.5.4.1.01.09</t>
  </si>
  <si>
    <t>09. BLT DD September</t>
  </si>
  <si>
    <t>5.3.00.5.4.1.01.10</t>
  </si>
  <si>
    <t>10. BLT DD Oktober</t>
  </si>
  <si>
    <t>5.3.00.5.4.1.01.11</t>
  </si>
  <si>
    <t>11. BLT DD November</t>
  </si>
  <si>
    <t>5.3.00.5.4.1.01.12</t>
  </si>
  <si>
    <t>12. BLT DD Bulan Desember</t>
  </si>
  <si>
    <t>Harga_Rencana</t>
  </si>
  <si>
    <t>Nama_Lengkap_KaurKasi</t>
  </si>
  <si>
    <t>Role_KaurKasi</t>
  </si>
  <si>
    <t>Lugas Khalid Maulana</t>
  </si>
  <si>
    <t>Puspita Sari Handayani, SE</t>
  </si>
  <si>
    <t>Agus Setiawan, S.Pd</t>
  </si>
  <si>
    <t>Ramli Nur Aziza</t>
  </si>
  <si>
    <t>Galur Rismawati, SE</t>
  </si>
  <si>
    <t>Kasi Pemerintahan</t>
  </si>
  <si>
    <t>Kasi Kesejahteraan</t>
  </si>
  <si>
    <t>Kasi Pelayanan</t>
  </si>
  <si>
    <t>Kaur Perencanaa</t>
  </si>
  <si>
    <t>Kaur Tata Usaha dan Umum</t>
  </si>
  <si>
    <t>NIK_KaurKasi</t>
  </si>
  <si>
    <t>3521065509950001</t>
  </si>
  <si>
    <t>3521060302990001</t>
  </si>
  <si>
    <t>3521065904990001</t>
  </si>
  <si>
    <t>3521062307880001</t>
  </si>
  <si>
    <t>3521060406020001</t>
  </si>
  <si>
    <t>Alamat_KaurKasi</t>
  </si>
  <si>
    <t>Blok C RT03 RW03 Desa Sumengko Kec Kwadungan</t>
  </si>
  <si>
    <t>Blok C RT02 RW03 Desa Sumengko Kec Kwadungan</t>
  </si>
  <si>
    <t>Blok C RT05 RW03 Desa Sumengko Kec Kwadungan</t>
  </si>
  <si>
    <t>Blok A RT04 RW01 Desa Sumengko Kec Kwadungan</t>
  </si>
  <si>
    <t>Blok A RT01 RW01 Desa Sumengko Kec Kwadungan</t>
  </si>
  <si>
    <t>Bidang Penyelenggaraan Pemerintahan</t>
  </si>
  <si>
    <t>Bidang Pelaksanaan Pembangunan Desa</t>
  </si>
  <si>
    <t>Bidang Pembinaan Kemasyarakatan</t>
  </si>
  <si>
    <t>Bidang Pemberdayaan Masyarakat</t>
  </si>
  <si>
    <t>Bidang Penanggulangan Bencana</t>
  </si>
  <si>
    <t>SubBidang_List</t>
  </si>
  <si>
    <t>Penyelenggaraan Belanja Penghasilan Tetap, Tunjangan dan Operasional Pemerintahan Desa</t>
  </si>
  <si>
    <t>RANCANGAN PENJABARAN ANGGARAN PENDAPATAN DAN BELANJA DESA</t>
  </si>
  <si>
    <t>PEMERINTAH DESA SUMENGKO KECAMATAN KWADUNGAN</t>
  </si>
  <si>
    <t>TAHUN ANGGARAN 2025</t>
  </si>
  <si>
    <t>KODE  REKENING</t>
  </si>
  <si>
    <t>URAIAN</t>
  </si>
  <si>
    <t>KELUARAN/OUTPUT</t>
  </si>
  <si>
    <t>ANGGARAN
Rp.</t>
  </si>
  <si>
    <t>SUMBER DANA</t>
  </si>
  <si>
    <t>Pagu 20%</t>
  </si>
  <si>
    <t>VOLUME</t>
  </si>
  <si>
    <t>SATUAN</t>
  </si>
  <si>
    <t>Pagu DD</t>
  </si>
  <si>
    <t>01</t>
  </si>
  <si>
    <t>02</t>
  </si>
  <si>
    <t>03</t>
  </si>
  <si>
    <t>04</t>
  </si>
  <si>
    <t>05</t>
  </si>
  <si>
    <t>06</t>
  </si>
  <si>
    <t>07</t>
  </si>
  <si>
    <t>08</t>
  </si>
  <si>
    <t>DD</t>
  </si>
  <si>
    <t>Bunga Bank</t>
  </si>
  <si>
    <t>BK</t>
  </si>
  <si>
    <t>Penyelenggaraan Pemerintahan Desa</t>
  </si>
  <si>
    <t>ADD/PADes/Silp ADD / Silpa PAD / BHR</t>
  </si>
  <si>
    <t>Penyediaan Penghasilan Tetap dan Tunjangan Kepala Desa</t>
  </si>
  <si>
    <t>OB</t>
  </si>
  <si>
    <t>Penghasilan Tetap Kepala Desa</t>
  </si>
  <si>
    <t>Tunjangan Kepala Desa</t>
  </si>
  <si>
    <t>Penyediaan Penghasilan Tetap dan Tunjangan Perangkat Desa</t>
  </si>
  <si>
    <t>Tunjangan Perangkat Desa</t>
  </si>
  <si>
    <t>Penyediaan Jaminan Sosial bagi Kepala Desa dan Perangkat Desa</t>
  </si>
  <si>
    <t>Jaminan Kesehatan Perangkat Desa</t>
  </si>
  <si>
    <t>Jaminan Ketenagakerjaan Kepala Desa</t>
  </si>
  <si>
    <t>Jaminan Ketenagakerjaan Perangkat Desa</t>
  </si>
  <si>
    <t>Penyediaan Operasional Pemerintah Desa (ATK, perlengkapan perkantoran, pakaian dinas/atribut, listrik/telpon, dll)</t>
  </si>
  <si>
    <t>ADD/SPADL/BHPR</t>
  </si>
  <si>
    <t>SPAD*</t>
  </si>
  <si>
    <t>09</t>
  </si>
  <si>
    <t>10</t>
  </si>
  <si>
    <t>11</t>
  </si>
  <si>
    <t>12</t>
  </si>
  <si>
    <t>Penyediaan Tunjangan BPD</t>
  </si>
  <si>
    <t>Penyediaan Operasional BPD (Rapat-rapat (ATK, makan-minum), perlengkapan perkantoran, Pakaian Seragam, perjalanan dinas, listrik/telpon, dll)</t>
  </si>
  <si>
    <t>BPJS Ketenagakerjaan BPD</t>
  </si>
  <si>
    <t>Penyediaan Insentif/Operasional RT/RW</t>
  </si>
  <si>
    <t>Penyediaan Tambahan Tunjangan Kepala Desa</t>
  </si>
  <si>
    <t>PADes</t>
  </si>
  <si>
    <t>Tambahan Tunjangan Kepala Desa</t>
  </si>
  <si>
    <t>Penyediaan Tambahan Tunjangan Perangkat Desa</t>
  </si>
  <si>
    <t>PAD / ADD</t>
  </si>
  <si>
    <t>Tambahan Tunjangan Perangkat Desa</t>
  </si>
  <si>
    <t xml:space="preserve">Penyediaan Tambahan Tunjangan BPD/Tunjangan Lainnya (tunjangan kinerja BPD) </t>
  </si>
  <si>
    <t>Penyediaan Insentif bagi Ketua RT/RW</t>
  </si>
  <si>
    <t>Penyediaan Honorarium Staf Perangkat Desa</t>
  </si>
  <si>
    <t>Penyediaan Honorarium Staf Administrasi BPD</t>
  </si>
  <si>
    <t xml:space="preserve"> </t>
  </si>
  <si>
    <t>Purna Tugas bagi Kepala Desa dan/atau Perangkat Desa</t>
  </si>
  <si>
    <t>Sarana dan Prasarana Pemerintahan Desa</t>
  </si>
  <si>
    <t>ADD/ PAD/ PAD*</t>
  </si>
  <si>
    <t>Penyediaan sarana (aset tetap) perkantoran/pemerintahan</t>
  </si>
  <si>
    <t>Unit</t>
  </si>
  <si>
    <t>BHP BHR</t>
  </si>
  <si>
    <t>SADD</t>
  </si>
  <si>
    <t>Pemeliharaan Gedung/Prasarana Kantor Desa</t>
  </si>
  <si>
    <t>Paket/Unit</t>
  </si>
  <si>
    <t>PAD*</t>
  </si>
  <si>
    <t>Pembangunan/Rehabilitasi/Peningkatan Gedung/Prasarana Kantor Desa</t>
  </si>
  <si>
    <t>ADD/BHP BHR</t>
  </si>
  <si>
    <t>Administrasi Kependudukan, Pencatatan Sipil, Statistik dan Kearsipan</t>
  </si>
  <si>
    <t>Pelayanan administrasi umum dan kependudukan (Surat Pengantar/Pelayanan KTP, Kartu Keluarga, dll)</t>
  </si>
  <si>
    <t>Penyusunan/Pendataan/Pemutakhiran Profil Desa (profil kependudukan dan potensi desa)</t>
  </si>
  <si>
    <t>PAD*, DD</t>
  </si>
  <si>
    <t>Pengelolaan administrasi dan kearsipan pemerintahan desa</t>
  </si>
  <si>
    <t>Penyuluhan dan Penyadaran Masyarakat tentang Kependudukan dan Pencatatan Sipil</t>
  </si>
  <si>
    <t>Pemetaan dan Analisis Kemiskinan Desa secara Partisipatif</t>
  </si>
  <si>
    <t>Tata Praja Pemerintahan, Perencanaan, Keuangan dan Pelaporan</t>
  </si>
  <si>
    <t>ADD/ PAD / PAD*/PADes</t>
  </si>
  <si>
    <t>Penyelenggaraan Musyawarah Perencanaan Desa/Pembahasan APBDes  (Musdes, Musrenbangdes/Pra-Musrenbangdes, dll., bersifat reguler)</t>
  </si>
  <si>
    <t>Penyelenggaraan Musyawarah Desa lainnya (musdus, rembug warga, dll., yang bersifat non-reguler sesuai kebutuhan desa)</t>
  </si>
  <si>
    <t>ADD/ PAD / PAD*</t>
  </si>
  <si>
    <t>SPAD</t>
  </si>
  <si>
    <t>Penyusunan Dokumen Perencanaan Desa (RPJMDes/RKPDes,dll)</t>
  </si>
  <si>
    <t>Penyusunan Dokumen Keuangan Desa (APBDes/ APBDes Perubahan/ LPJ APBDes, dan seluruh dokumen terkait)</t>
  </si>
  <si>
    <t>Pengelolaan/Administrasi/Inventarisasi/Penilaian Aset Desa</t>
  </si>
  <si>
    <t>Penyusunan Kebijakan Desa (Perdes/Perkades, dll - diluar dokumen Rencana Pembangunan/Keuangan)</t>
  </si>
  <si>
    <t>Penyusunan Laporan Kepala Desa/Penyelenggaraan Pemerintahan Desa (laporan akhir tahun anggaran, laporan akhir masa jabatan, laporan keterangan akhir tahun anggaran, informasi kepada masyarakat)</t>
  </si>
  <si>
    <t xml:space="preserve">Pengembangan Sistem Informasi Desa </t>
  </si>
  <si>
    <t>Koordinasi/Kerjasama Penyelenggaraan Pemerintahan dan Pembangunan Desa (Antar Desa/Kecamatan/Kabupaten, Pihak Ketiga, dll)</t>
  </si>
  <si>
    <t>Dukungan Pelaksanaan dan Sosialisasi Pilkades dan Pemilihan BPD (yang menjadi wewenang Desa)</t>
  </si>
  <si>
    <t xml:space="preserve">Penyelenggaraan Lomba antar kewilayahan dan pengiriman kontingen dalam mengikuti Lomba Desa </t>
  </si>
  <si>
    <t>Paket/Kali</t>
  </si>
  <si>
    <t>Pelaksanaan Pengisian Perangkat Desa</t>
  </si>
  <si>
    <t>Pelaksanaan Pengelolaan Keuangan Desa</t>
  </si>
  <si>
    <t>Pertanahan</t>
  </si>
  <si>
    <t>Sertifikasi Tanah Kas Desa</t>
  </si>
  <si>
    <t>Administrasi Pertanahan (Pendaftaran Tanah, dan Pemberian Registrasi Agenda Pertanahan)</t>
  </si>
  <si>
    <t>Fasilitasi Sertifikasi Tanah untuk Masyarakat Miskin</t>
  </si>
  <si>
    <t>Mediasi Konflik Pertanahan</t>
  </si>
  <si>
    <t>Penyuluhan Pertanahan</t>
  </si>
  <si>
    <t>Administrasi Pajak Bumi dan Bangunan (PBB)</t>
  </si>
  <si>
    <t>BHR/PHR</t>
  </si>
  <si>
    <t>Penentuan/Penegasan/Pembangunan Batas/Patok Tanah Desa</t>
  </si>
  <si>
    <t>Pelaksanaan Pembangunan Desa</t>
  </si>
  <si>
    <t>DD/SILP DD /PAD/ PAD* /SILPA PAD/ BHR</t>
  </si>
  <si>
    <t>Pendidikan</t>
  </si>
  <si>
    <t xml:space="preserve">DD </t>
  </si>
  <si>
    <t>Penyelenggaraan PAUD/TK/TPA/TKA/TPQ/Madrasah Non-Formal Milik Desa (Bantuan Honor Pengajar, Pakaian Seragam, Operasional, dst)</t>
  </si>
  <si>
    <t>DD, ADD</t>
  </si>
  <si>
    <t>Dukungan Penyelenggaraan PAUD (APE, Sarana PAUD, dst)</t>
  </si>
  <si>
    <t>Penyuluhan dan Pelatihan Pendidikan bagi Masyarakat</t>
  </si>
  <si>
    <t>Pemeliharaan Sarana dan Prasarana Perpustakaan/Taman Bacaan Desa/ Sanggar Belajar Milik Desa</t>
  </si>
  <si>
    <t>Pemeliharaan Sarana dan Prasarana PAUD/TK/TPA/TKA/TPQ/Madrasah Non-Formal Milik Desa</t>
  </si>
  <si>
    <t>Pembangunan/Rehabilitasi/Peningkatan/Pengadaan Sarana/Prasarana/Alat Peraga Edukatif (APE) PAUD/ TK/TPA/TKA/TPQ/Madrasah Non-Formal Milik Desa</t>
  </si>
  <si>
    <t>Pembangunan/Rehabilitasi/Peningkatan Sarana Prasarana Perpustakaan/Taman Bacaan Desa/ Sanggar Belajar Milik Desa**</t>
  </si>
  <si>
    <t>Pengelolaan Perpustakaan Milik Desa (Pengadaan Buku-buku Bacaan, Honor Penjaga untuk Perpustakaan/Taman Bacaan Desa)</t>
  </si>
  <si>
    <t>Pengembangan dan Pembinaan Sanggar Seni dan Belajar</t>
  </si>
  <si>
    <t>Dukungan Pendidikan bagi Siswa Miskin/Berprestasi</t>
  </si>
  <si>
    <t>Kesehatan</t>
  </si>
  <si>
    <t>DD,PAD*</t>
  </si>
  <si>
    <t>Penyelenggaraan Pos Kesehatan Desa (PKD)/Polindes Milik Desa (Obat-obatan; Tambahan Insentif Bidan Desa/Perawat Desa; Penyediaan Pelayanan KB dan Alat Kontrasepsi bagi Keluarga Miskin, dst)</t>
  </si>
  <si>
    <t>Penyelenggaraan Posyandu (Makanan Tambahan, Kelas Ibu Hamil, Kelas Lansia, Insentif Kader Posyandu)</t>
  </si>
  <si>
    <t>DD / PAD*</t>
  </si>
  <si>
    <t>Penyuluhan dan Pelatihan Bidang Kesehatan (untuk Masyarakat, Tenaga Kesehatan, Kader Kesehatan, dll)</t>
  </si>
  <si>
    <t>Penyelenggaraan Desa Siaga Kesehatan</t>
  </si>
  <si>
    <t>Paket/unit</t>
  </si>
  <si>
    <t>Pembinaan Palang Merah Remaja (PMR) tingkat desa</t>
  </si>
  <si>
    <t>Pengasuhan Bersama atau Bina Keluarga Balita (BKB)</t>
  </si>
  <si>
    <t>Pembinaan dan Pengawasan Upaya Kesehatan Tradisional</t>
  </si>
  <si>
    <t>Pemeliharaan Sarana/Prasarana Posyandu/Polindes/PKD</t>
  </si>
  <si>
    <t xml:space="preserve">Pembangunan/Rehabilitasi/Peningkatan/Pengadaan Sarana/Prasarana Posyandu/Polindes/PKD </t>
  </si>
  <si>
    <t>Pekerjaan Umum dan Penataan Ruang</t>
  </si>
  <si>
    <t>Pemeliharaan Jalan Desa</t>
  </si>
  <si>
    <t>Pemeliharaan Jalan Lingkungan Permukiman/Gang</t>
  </si>
  <si>
    <t>SDD</t>
  </si>
  <si>
    <t>Pemeliharaan Jalan Usaha Tani</t>
  </si>
  <si>
    <t>SPAD*/DD/SDD</t>
  </si>
  <si>
    <t>Pemeliharaan Jembatan Milik Desa</t>
  </si>
  <si>
    <t>Pemeliharaan Prasarana Jalan Desa (Gorong-gorong, Selokan, Box/Slab Culvert, Drainase Talud, Penerangan Jalan, Prasarana Jalan lain)</t>
  </si>
  <si>
    <t>ADD, PAD, SPAD, PAD*</t>
  </si>
  <si>
    <t>Pemeliharaan Gedung/Prasarana Balai Desa/Balai Kemasyarakatan</t>
  </si>
  <si>
    <t>Pemeliharaan Pemakaman Milik Desa/Situs Bersejarah Milik Desa/Petilasan Milik Desa</t>
  </si>
  <si>
    <t>Pemeliharaan Embung Milik Desa</t>
  </si>
  <si>
    <t>Pemeliharaan Monumen/Gapura/Batas Desa</t>
  </si>
  <si>
    <t>Pembangunan/Rehabilitasi/Peningkatan/Pengerasan Jalan Desa</t>
  </si>
  <si>
    <t>2</t>
  </si>
  <si>
    <t>Pembangunan/Rehabilitasi/Peningkatan/Pengerasan Jalan Lingkungan Permukiman/Gang</t>
  </si>
  <si>
    <t>DD, BK</t>
  </si>
  <si>
    <t>Pembangunan/Rehabilitasi/Peningkatan/Pengerasan Jalan Usaha Tani</t>
  </si>
  <si>
    <t>13</t>
  </si>
  <si>
    <t>Pembangunan/Rehabilitasi/Peningkatan/Pengerasan Jembatan Milik Desa</t>
  </si>
  <si>
    <t>14</t>
  </si>
  <si>
    <t>Pembangunan/Rehabilitasi/Peningkatan Prasarana Jalan Desa (Gorong-gorong, Selokan, Box/Slab Culvert, Drainase, Talud, Penerangan Jalan, Prasarana Jalan lain)</t>
  </si>
  <si>
    <t>15</t>
  </si>
  <si>
    <t>Pembangunan/Rehabilitasi/Peningkatan Balai Desa/Balai Kemasyarakatan</t>
  </si>
  <si>
    <t>16</t>
  </si>
  <si>
    <t>Pembangunan/Rehabilitasi/Peningkatan Pemakaman Milik Desa/Situs Bersejarah Milik Desa/Petilasan</t>
  </si>
  <si>
    <t>BHPR</t>
  </si>
  <si>
    <t>17</t>
  </si>
  <si>
    <t>Pembuatan/Pemutakhiran Peta Wilayah dan Sosial Desa</t>
  </si>
  <si>
    <t>18</t>
  </si>
  <si>
    <t>Penyusunan Dokumen Perencanaan Tata Ruang Desa</t>
  </si>
  <si>
    <t>Pembangunan/Rehabilitasi/Peningkatan Embung Desa **</t>
  </si>
  <si>
    <t>Pembangunan/Rehabilitasi/Peningkatan Monumen/Gapura/Batas Desa **</t>
  </si>
  <si>
    <t>Kawasan Permukiman</t>
  </si>
  <si>
    <t>Dukungan pelaksanaan program Pembangunan/Rehab Rumah Tidak Layak Huni (RTLH) GAKIN (pemetaan, validasi, dll)</t>
  </si>
  <si>
    <t>Pemeliharaan Sumur Resapan Milik Desa</t>
  </si>
  <si>
    <t>Pemeliharaan Sumber Air Bersih Milik Desa (Mata Air/Tandon Penampungan Air Hujan/Sumur Bor, dll)</t>
  </si>
  <si>
    <t>Pemeliharaan Sambungan Air Bersih ke Rumah Tangga (pipanisasi, dll)</t>
  </si>
  <si>
    <t>Pemeliharaan Sanitasi Permukiman (Gorong-gorong, Selokan, Parit, dll., diluar prasarana jalan)</t>
  </si>
  <si>
    <t>Pemeliharaan Fasilitas Jamban Umum/MCK umum, dll</t>
  </si>
  <si>
    <t>Pemeliharaan Fasilitas Pengelolaan Sampah Desa/Permukiman (Penampungan, Bank Sampah, dll)</t>
  </si>
  <si>
    <t>Pemeliharaan Sistem Pembuangan Air Limbah (Drainase, Air limbah Rumah Tangga)</t>
  </si>
  <si>
    <t>Pemeliharaan Taman/Taman Bermain Anak Milik Desa</t>
  </si>
  <si>
    <t>Pembangunan/Rehabilitasi/Peningkatan Sumur Resapan</t>
  </si>
  <si>
    <t>Pembangunan/Rehabilitasi/Peningkatan Sumber Air Bersih Milik Desa (Mata Air/Tandon Penampungan Air Hujan/Sumur Bor, dll)</t>
  </si>
  <si>
    <t>Pembangunan/Rehabilitasi/Peningkatan Sambungan Air Bersih ke Rumah Tangga (pipanisasi, dll) **</t>
  </si>
  <si>
    <t>Pembangunan/Rehabilitasi/Peningkatan Sanitasi Permukiman (Gorong-gorong, Selokan, Parit, dll., diluar prasarana jalan)</t>
  </si>
  <si>
    <t>Pembangunan/Rehabilitas/Peningkatan Fasilitas Jamban Umum/MCK umum, dll **</t>
  </si>
  <si>
    <t>Pembangunan/Rehabilitasi/Peningkatan Fasilitas Pengelolaan Sampah Desa/Permukiman (Penampungan, Bank Sampah, dll)**</t>
  </si>
  <si>
    <t>Pembangunan/Rehabilitasi/Peningkatan Sistem Pembuangan Air Limbah (Drainase, Air limbah Rumah Tangga)**</t>
  </si>
  <si>
    <t>Pembangunan/Rehabilitasi/Peningkatan Taman/Taman Bermain Anak Milik Desa**</t>
  </si>
  <si>
    <t>Kehutanan dan Lingkungan Hidup</t>
  </si>
  <si>
    <t>Pengelolaan Hutan Milik Desa</t>
  </si>
  <si>
    <t>Pengelolaan Lingkungan Hidup Desa</t>
  </si>
  <si>
    <t>Pelatihan/Sosialisasi/Penyuluhan/Penyadaran tentang Lingkungan Hidup dan Kehutanan</t>
  </si>
  <si>
    <t>Perhubungan, Komunikasi, dan Informatika</t>
  </si>
  <si>
    <t>ADD / DD</t>
  </si>
  <si>
    <t>Pembuatan Rambu-rambu di Jalan Desa</t>
  </si>
  <si>
    <t>Penyelenggaraan Informasi Publik Desa  (Misal : Pembuatan Poster/Baliho Informasi penetapan/LPJ APBDes untuk Warga, dll)</t>
  </si>
  <si>
    <t>Pengelolaan dan Pembuatan Jaringan/Instalasi Komunikasi dan Informasi Lokal Desa</t>
  </si>
  <si>
    <t>Energi dan Sumber Daya Mineral</t>
  </si>
  <si>
    <t>Pemeliharaan Sarana dan Prasarana Energi Alternatif tingkat Desa</t>
  </si>
  <si>
    <t>Pembangunan/Rehabilitasi/Peningkatan Sarana dan Prasarana Energi Alternatif tingkat Desa **</t>
  </si>
  <si>
    <t>Pariwisata</t>
  </si>
  <si>
    <t>Pemeliharaan Sarana dan Prasarana Pariwisata Milik Desa</t>
  </si>
  <si>
    <t>Pembangunan/Rehabilitasi/Peningkatan Sarana dan Prasarana Pariwisata Milik Desa</t>
  </si>
  <si>
    <t>Pengembangan Pariwisata Tingkat Desa</t>
  </si>
  <si>
    <t>PEMBINAAN KEMASYARAKATAN DESA</t>
  </si>
  <si>
    <t>ADD / PAD / PAD*</t>
  </si>
  <si>
    <t>Ketenteraman, Ketertiban Umum, dan Pelindungan Masyarakat</t>
  </si>
  <si>
    <t>PAD / PAD*</t>
  </si>
  <si>
    <t>Pengadaan/Penyelenggaraan Pos Keamanan Desa (pembangunan pos, pengawasan pelaksanaan jadwal ronda/patroli dll)</t>
  </si>
  <si>
    <t>Penguatan dan Peningkatan Kapasitas Tenaga Keamanan/Ketertiban oleh Pemerintah Desa (Satlinmas desa)</t>
  </si>
  <si>
    <t>Koordinasi Pembinaan Ketentraman, Ketertiban, dan Pelindungan Masyarakat (dengan masyarakat/instansi pemerintah daerah, dll)  Skala Lokal Desa</t>
  </si>
  <si>
    <t>Pelatihan Kesiapsiagaan/Tanggap Bencana Skala Lokal Desa</t>
  </si>
  <si>
    <t>Penyediaan Pos Kesiapsiagaan Bencana Skala Lokal Desa (Pos Siaga Bencana. Tempat/Gedung Pengungsian Milik Desa)</t>
  </si>
  <si>
    <t>Bantuan Hukum Untuk Aparatur Desa dan Masyarakat Miskin</t>
  </si>
  <si>
    <t>Pelatihan/Penyuluhan/Sosialisasi kepada Masyarakat di Bidang Hukum dan Pelindungan Masyarakat</t>
  </si>
  <si>
    <t>Kebudayaan dan Keagamaan</t>
  </si>
  <si>
    <t>ADD, PAD</t>
  </si>
  <si>
    <t>Pembinaan Group Kesenian dan Kebudayaan Tingkat Desa</t>
  </si>
  <si>
    <t>Kali/Unit</t>
  </si>
  <si>
    <t>Pengiriman Kontingen Group Kesenian dan Kebudayaan sebagai Wakil Desa di tingkat Kecamatan dan Kabupaten</t>
  </si>
  <si>
    <t>Penyelenggaraan Festival Kesenian, Adat/Kebudayaan, dan Keagamaan (perayaan hari kemerdekaan, hari besar keagamaan, dll) tingkat Desa</t>
  </si>
  <si>
    <t>1</t>
  </si>
  <si>
    <t>Kali/paket</t>
  </si>
  <si>
    <t>ADD/PAD</t>
  </si>
  <si>
    <t>Pemeliharaan Sarana dan Prasarana Kebudayaan/Rumah Adat/Keagamaan Milik Desa</t>
  </si>
  <si>
    <t>Pembangunan/Rehabilitasi/Peningkatan Sarana dan Prasarana Kebudayaan/Rumah Adat/Keagamaan Milik Desa</t>
  </si>
  <si>
    <t>Kepemudaan dan Olah Raga</t>
  </si>
  <si>
    <t>SAD</t>
  </si>
  <si>
    <t>Pengiriman Kontingen Kepemudaan dan Olah Raga sebagai Wakil Desa di tingkat Kecamatan dan Kabupaten</t>
  </si>
  <si>
    <t>Penyelenggaraan pelatihan kepemudaan (Kepemudaan, Penyadaraan Wawasan Kebangsaan, dll) tingkat Desa</t>
  </si>
  <si>
    <t>Penyelenggaraan Festival/Lomba Kepemudaan dan Olahraga tingkat Desa</t>
  </si>
  <si>
    <t>Pemeliharaan Sarana dan Prasarana Kepemudaan dan Olah Raga Milik Desa**</t>
  </si>
  <si>
    <t>Pembangunan/Rehabilitasi/Peningkatan Sarana dan Prasarana Kepemudaan dan Olah Raga Milik Desa**</t>
  </si>
  <si>
    <t>Pembinaan Karang Taruna/Klub Kepemudaan/Klub Olah raga</t>
  </si>
  <si>
    <t>Kelembagaan Masyarakat</t>
  </si>
  <si>
    <t>Pembinaan Lembaga Adat</t>
  </si>
  <si>
    <t>Pembinaan LKMD/LPM/LPMD</t>
  </si>
  <si>
    <t>Pembinaan PKK</t>
  </si>
  <si>
    <t>Pelatihan Pembinaan Lembaga Kemasyarakatan</t>
  </si>
  <si>
    <t>PEMBERDAYAAN MASYARAKAT DESA</t>
  </si>
  <si>
    <t>Kelautan dan Perikanan</t>
  </si>
  <si>
    <t>Pemeliharaan Karamba/Kolam Perikanan Darat Milik Desa</t>
  </si>
  <si>
    <t>Pemeliharaan Pelabuhan Perikanan Sungai/Kecil Milik Desa</t>
  </si>
  <si>
    <t>Pembangunan/Rehabilitasi/Peningkatan Karamba/Kolam Perikanan Darat Milik Desa</t>
  </si>
  <si>
    <t>Pembangunan/Rehabilitasi/Peningkatan Pelabuhan Perikanan Sungai/Kecil Milik Desa</t>
  </si>
  <si>
    <t>Bantuan Perikanan (Bibit/Pakan/dst)</t>
  </si>
  <si>
    <t>Pelatihan/Bimtek/Pengenalan Tekonologi Tepat Guna untuk Perikanan Darat/Nelayan</t>
  </si>
  <si>
    <t>Pertanian dan Peternakan</t>
  </si>
  <si>
    <t>Peningkatan Produksi Tanaman Pangan (Alat Produksi dan pengolahan pertanian, penggilingan Padi/jagung, dll)</t>
  </si>
  <si>
    <t>Peningkatan Produksi Peternakan (Alat Produksi dan pengolahan peternakan, kandang, dll)</t>
  </si>
  <si>
    <t>Penguatan Ketahanan Pangan Tingkat Desa (Lumbung Desa, dll)</t>
  </si>
  <si>
    <t>Pemeliharaan Saluran Irigasi Tersier/Sederhana</t>
  </si>
  <si>
    <t>Pelatihan/Bimtek/Pengenalan Tekonologi Tepat Guna untuk Pertanian/Peternakan</t>
  </si>
  <si>
    <t>Pembangunan/Rehabilitasi/Peningkatan Saluran Irigasi Tersier/Sederhana</t>
  </si>
  <si>
    <t>Peningkatan Kapasitas Aparatur Desa</t>
  </si>
  <si>
    <t xml:space="preserve">Peningkatan kapasitas kepala  Desa </t>
  </si>
  <si>
    <t xml:space="preserve">Peningkatan kapasitas perangkat Desa </t>
  </si>
  <si>
    <t xml:space="preserve">Peningkatan kapasitas BPD </t>
  </si>
  <si>
    <t>Pemberdayaan Perempuan, Perlindungan Anak dan Keluarga</t>
  </si>
  <si>
    <t>Pelatihan/Penyuluhan Pemberdayaan Perempuan</t>
  </si>
  <si>
    <t>Pelatihan/Penyuluhan Perlindungan Anak</t>
  </si>
  <si>
    <t>Pelatihan dan Penguatan Penyandang Difabel (penyandang disabilitas)</t>
  </si>
  <si>
    <t>Koperasi, Usaha Mikro Kecil dan Menengah (UMKM)</t>
  </si>
  <si>
    <t>Pelatihan Manajemen Pengelolaan Koperasi/ KUD/ UMKM</t>
  </si>
  <si>
    <t>Pengembangan Sarana Prasarana Usaha Mikro, Kecil dan Menengah serta Koperasi</t>
  </si>
  <si>
    <t>Pengadaan Teknologi Tepat Guna untuk Pengembangan Ekonomi Pedesaan Non-Pertanian</t>
  </si>
  <si>
    <t>Dukungan Penanaman Modal</t>
  </si>
  <si>
    <t>Pembentukan BUM Desa (Persiapan dan Pembentukan Awal BUM Desa)</t>
  </si>
  <si>
    <t>Pelatihan Pengelolaan BUM Desa (Pelatihan yang dilaksanakan oleh Desa)</t>
  </si>
  <si>
    <t>Perdagangan dan Perindustrian</t>
  </si>
  <si>
    <t>Pemeliharaan Pasar Desa/Kios milik Desa</t>
  </si>
  <si>
    <t>Pembangunan/Rehabilitasi/Peningkatan Pasar Desa/Kios milik Desa</t>
  </si>
  <si>
    <t>Pengembangan Industri kecil level Desa</t>
  </si>
  <si>
    <t>Pembentukan/Fasilitasi/Pelatihan/Pendampingan kelompok usaha ekonomi produktif  (pengrajin, pedagang, industri rumah tangga, dll) **</t>
  </si>
  <si>
    <t>PENANGGULANGAN BENCANA, KEADAAN DARURAT DAN MENDESAK</t>
  </si>
  <si>
    <t>Penanggulangan Bencana</t>
  </si>
  <si>
    <t>00</t>
  </si>
  <si>
    <t>Belanja Tak Terduga</t>
  </si>
  <si>
    <t>Keadaan Darurat</t>
  </si>
  <si>
    <t>Mendesak</t>
  </si>
  <si>
    <t xml:space="preserve">JUMLAH  BELANJA </t>
  </si>
  <si>
    <t>SURPLUS /(DEFISIT)</t>
  </si>
  <si>
    <t xml:space="preserve">PEMBIAYAAN </t>
  </si>
  <si>
    <t>SDD/SADD/SPADes</t>
  </si>
  <si>
    <t>Penerimaan Pembiayaan</t>
  </si>
  <si>
    <t>SiLPA Tahun Sebelumnya</t>
  </si>
  <si>
    <t>Pencairan Dana Cadangan</t>
  </si>
  <si>
    <t>Hasil Penjualan Kekayaan Desa yang Dipisahkan</t>
  </si>
  <si>
    <t>Pengeluaran Pembiayaan</t>
  </si>
  <si>
    <t>Pembentukan Dana Cadangan</t>
  </si>
  <si>
    <t>Penyertaan Modal Desa</t>
  </si>
  <si>
    <t>SELISIH PEMBIAYAAN/PEMBIAYAAN NETTO</t>
  </si>
  <si>
    <t>SISA LEBIH PEMBIAYAAN ANGGARAN</t>
  </si>
  <si>
    <t>Sumengko,      Februari 2024</t>
  </si>
  <si>
    <t>Kepala Desa Sumengko</t>
  </si>
  <si>
    <t>( Drs. H. SUMARLI, M.Ag )</t>
  </si>
  <si>
    <t>Silpa 2018</t>
  </si>
  <si>
    <t>Sisa Silp ADD 2020</t>
  </si>
  <si>
    <t>Sisa BHR</t>
  </si>
  <si>
    <t xml:space="preserve">BHP </t>
  </si>
  <si>
    <t>Kegiatan_List</t>
  </si>
  <si>
    <t>Penghasilan Tetap  Perangkat Desa</t>
  </si>
  <si>
    <t>Jaminan Hari tua Perangkat Desa</t>
  </si>
  <si>
    <t>Jaminan Pensiun Perangkat Desa</t>
  </si>
  <si>
    <t>ATK ADD</t>
  </si>
  <si>
    <t>Materai Pos dan Giro ADD</t>
  </si>
  <si>
    <t>Materai Pos dan Giro BHP</t>
  </si>
  <si>
    <t>ATK BHP</t>
  </si>
  <si>
    <t>ATK SDLL</t>
  </si>
  <si>
    <t>ATK SPADL</t>
  </si>
  <si>
    <t>Peralatan Rumah Tangga Pemdes</t>
  </si>
  <si>
    <t>Penyediaan Air Minum Tamu</t>
  </si>
  <si>
    <t>Jasa Honorarium Insentifikasi Pajak PBB</t>
  </si>
  <si>
    <t>Perjalanan Dinas</t>
  </si>
  <si>
    <t>Jasa Langanan Listrik</t>
  </si>
  <si>
    <t>Jasa Langanan Internet/Wifi Pemdes</t>
  </si>
  <si>
    <t>Jasa Perpanjangan Ijin/Pajak</t>
  </si>
  <si>
    <t>Biaya Admin Bank</t>
  </si>
  <si>
    <t>Air mInum Tamu BHPR</t>
  </si>
  <si>
    <t>Biaya Perjalanan Dinas ADD</t>
  </si>
  <si>
    <t>Biaya Langganan Listrik kantor desa BHPR</t>
  </si>
  <si>
    <t>ATK SADD</t>
  </si>
  <si>
    <t>Tunjangan BPD 5 Orang</t>
  </si>
  <si>
    <t>ATK BPD</t>
  </si>
  <si>
    <t>Konsumsi Rapat BPD</t>
  </si>
  <si>
    <t>Seragam BPD</t>
  </si>
  <si>
    <t>Perjanalan Dinas BPD Dalam Kabupaten</t>
  </si>
  <si>
    <t>Perjalanan Dinas BPD Luar Kabupaten ADD</t>
  </si>
  <si>
    <t>Perjalanan Dinas BPD Luar Kabupaten SADD</t>
  </si>
  <si>
    <t>Insentif/Operasional RT RW</t>
  </si>
  <si>
    <t>BPJS Ketenagakerjaan RT RW</t>
  </si>
  <si>
    <t>Pembelian Seragam RT RW</t>
  </si>
  <si>
    <t>Penyediaan Operasional Pemerintah Desa yang bersumberdari Dana Desa</t>
  </si>
  <si>
    <t>Rapat Koordinasi</t>
  </si>
  <si>
    <t>Suronan DD</t>
  </si>
  <si>
    <t>Biaya Dukungan Penyelenggaraan Penanggulangan Kerawanan Sosial</t>
  </si>
  <si>
    <t>17 Agustus Karang Taruna</t>
  </si>
  <si>
    <t>17 Agustus Malam Tirakatan</t>
  </si>
  <si>
    <t>17 Agustus Karnaval</t>
  </si>
  <si>
    <t>Tunjangan Hari Raya</t>
  </si>
  <si>
    <t>Tambahan Tunjangan Kasi Pelayanan</t>
  </si>
  <si>
    <t>Tambahan Tunjangan BPD</t>
  </si>
  <si>
    <t>Honorarium Staf Perangkat Desa</t>
  </si>
  <si>
    <t>Purna Tugas Perangkat Desa</t>
  </si>
  <si>
    <t>Pemeliharaan Gedung Kantor PADL</t>
  </si>
  <si>
    <t>Pemeliharaan Jaringan Listrik Kantor PADL</t>
  </si>
  <si>
    <t>Pemeliharaan AC Kantor Desa</t>
  </si>
  <si>
    <t>Profil Desa PADL</t>
  </si>
  <si>
    <t>Rapat Desa PAD</t>
  </si>
  <si>
    <t>Rapat Lembaga LPMD</t>
  </si>
  <si>
    <t>Rapat Desa PADL</t>
  </si>
  <si>
    <t>Dukungan Rapat Bumdes</t>
  </si>
  <si>
    <t>Dukungan rapat kopdes</t>
  </si>
  <si>
    <t>Musdes APBDes</t>
  </si>
  <si>
    <t>Musdes Perubahan APBDes</t>
  </si>
  <si>
    <t>Rapat Penyusunan RKP</t>
  </si>
  <si>
    <t>Musdes Perencanaan Pembanguna</t>
  </si>
  <si>
    <t>Musdes Realisasi APBDes</t>
  </si>
  <si>
    <t>Musdes Insidental 1 kali SADD</t>
  </si>
  <si>
    <t>Musrenbangdes RKP</t>
  </si>
  <si>
    <t>Rapat Internal Pemdes</t>
  </si>
  <si>
    <t>Musdes Indeks Desa (BHP)</t>
  </si>
  <si>
    <t>Rapat Penyusunan RKP (BHPR)</t>
  </si>
  <si>
    <t>Rapat Interna Pemdes (BHPR)</t>
  </si>
  <si>
    <t>Musrenangdes RKP BHPR</t>
  </si>
  <si>
    <t>Musdes Perencanaan Pembangunan SADD</t>
  </si>
  <si>
    <t>Musdes Peruabahan APBDES Ke-1 SADD</t>
  </si>
  <si>
    <t>Musdes Perubahan APBDES Ke-2 SADD</t>
  </si>
  <si>
    <t>Musdes APBDES Desember BHPR</t>
  </si>
  <si>
    <t>Honor TIM RKP</t>
  </si>
  <si>
    <t>Honor TIM RKP BHPR</t>
  </si>
  <si>
    <t>ATK Penyusunan LPJ PADL</t>
  </si>
  <si>
    <t>Honor PKPKD dan PPKD</t>
  </si>
  <si>
    <t>Honorarium Pembantu Tugas Umum Desa/ Operator</t>
  </si>
  <si>
    <t>Honor PKPKD dan PPKD BHPR</t>
  </si>
  <si>
    <t>Honorarium Pembantu Tugas Umum Desa/ Operator BHPR</t>
  </si>
  <si>
    <t>Langganan Listrik Paud</t>
  </si>
  <si>
    <t>jasa honorarium insentif guru TPQ</t>
  </si>
  <si>
    <t>Insentif Guru paud</t>
  </si>
  <si>
    <t>Jasa honorarium insentif guru TK SDD</t>
  </si>
  <si>
    <t>Jasa Honorarium Insentif guru PAUD SDD</t>
  </si>
  <si>
    <t>Jasa honorarium insentif guru TPQ SDD</t>
  </si>
  <si>
    <t>PMT Posyandu Balita SDD</t>
  </si>
  <si>
    <t>PMT Tambahan PADL</t>
  </si>
  <si>
    <t>PMT Balita Stunting dan Ibu Hamil SDD</t>
  </si>
  <si>
    <t>PMT Posyandu Balita DD</t>
  </si>
  <si>
    <t>PMT Balita Stunting dan Ibu Hamil</t>
  </si>
  <si>
    <t>Snack ILP</t>
  </si>
  <si>
    <t>ATKProgram Stunting</t>
  </si>
  <si>
    <t>Honorarium Kader PPKBD</t>
  </si>
  <si>
    <t>Honorarium Kader Pembangunan Manusia (KPM) Stunting</t>
  </si>
  <si>
    <t>Penyediaan Kotak makan Stainless Posyandu</t>
  </si>
  <si>
    <t>Kegiatan Fogging</t>
  </si>
  <si>
    <t>PMI Kec</t>
  </si>
  <si>
    <t>Kegiatan PIKR</t>
  </si>
  <si>
    <t>Pemeliharaan jalan Pemukiman</t>
  </si>
  <si>
    <t>Pemeliharaan Jalan usaha tani SPADL</t>
  </si>
  <si>
    <t>Pemeliharaan Listrik Jalan Desa ADD</t>
  </si>
  <si>
    <t>Pemeliharaan Listrik Jalan Desa PAD</t>
  </si>
  <si>
    <t>Pemeliharaan Drainase Blok A SPADL</t>
  </si>
  <si>
    <t>Pemeliharaan Lampu Jalan Pemukiman SDD</t>
  </si>
  <si>
    <t>Pembangunan Paving Mlandingan</t>
  </si>
  <si>
    <t>Pembangunan rabat Jalan Utama Usaha tani</t>
  </si>
  <si>
    <t>Lain-Lain Kegiatan Sub Bidang Pekerjaan umum dan Tata Ruang</t>
  </si>
  <si>
    <t>PKT Saluran Pemukiman</t>
  </si>
  <si>
    <t>PKT Saluran Sawah</t>
  </si>
  <si>
    <t>RTLH</t>
  </si>
  <si>
    <t>Inofrmasi Publik Media</t>
  </si>
  <si>
    <t>Transparansi Desa DD</t>
  </si>
  <si>
    <t>Transparansi Desa SDD</t>
  </si>
  <si>
    <t>Lain-Lain Kegiatan Sub Bidang Perhubungan, Komunikasi, dan Informatika</t>
  </si>
  <si>
    <t>Langganan Internet Desa</t>
  </si>
  <si>
    <t>Pemasangan Tiang PJU dan Tenaga Surya SDD</t>
  </si>
  <si>
    <t>Pengadaan Tiang PJU dan Tenaga Surya DD</t>
  </si>
  <si>
    <t>Pelatihan Linmas</t>
  </si>
  <si>
    <t>Penyedian Pos Kesiapgaan SPADL</t>
  </si>
  <si>
    <t>Pelatihan Kesiap Siagaan bencana</t>
  </si>
  <si>
    <t>Pelatihan/Sosialisasi Kepada Masyarakat Dibidang Hukum</t>
  </si>
  <si>
    <t>Suronan BHPR</t>
  </si>
  <si>
    <t>Malam Tirakatan hari jadi Ngawi</t>
  </si>
  <si>
    <t>Umbul-Umbul Hari Proklamasi HUT RI</t>
  </si>
  <si>
    <t>PHBI</t>
  </si>
  <si>
    <t>Hadiah Kecamatan</t>
  </si>
  <si>
    <t>Karnaval BHP</t>
  </si>
  <si>
    <t>Acara Adat Takbir Keliling Makam</t>
  </si>
  <si>
    <t>Takbir Keliling dan Tahlil di Makam BHPR</t>
  </si>
  <si>
    <t>Malam tirakatan hari jadi Kabupaten BHP</t>
  </si>
  <si>
    <t>Malam Tirakatan 17 Agustus BHP</t>
  </si>
  <si>
    <t>Umbul-Umbul Hari Jadi Ngawi BHP</t>
  </si>
  <si>
    <t>Umbul-Umbul dan Bendera Agustusan BHP</t>
  </si>
  <si>
    <t>PHBI DLL</t>
  </si>
  <si>
    <t>Pemeliharaan Masjid dan Mushola</t>
  </si>
  <si>
    <t>Pemeliharaan Makam (Obat Suket) ADD</t>
  </si>
  <si>
    <t>Pemeliharaan Makam (Beli Kabel)</t>
  </si>
  <si>
    <t>Pemeliharaan Kebersihan Makam BHP</t>
  </si>
  <si>
    <t>Penyelenggaraan Festival Agustusan Karang Taruna</t>
  </si>
  <si>
    <t>Dukungan Turnamen OlahRaga Volly ADD</t>
  </si>
  <si>
    <t>Pembelian Peralatan OlahRaga Karang Taruna BHP</t>
  </si>
  <si>
    <t>ATK PKK BHPR</t>
  </si>
  <si>
    <t>Rapat Pleno PKK</t>
  </si>
  <si>
    <t>Operasional LKD</t>
  </si>
  <si>
    <t>Seragam Kader PKK</t>
  </si>
  <si>
    <t>Gropyok Tikus 1 Musim SDD</t>
  </si>
  <si>
    <t>Gropyok Tikus 2 Musim</t>
  </si>
  <si>
    <t>Gema Parut</t>
  </si>
  <si>
    <t>Pelatihan Teknologi Tepat Guna untuk Pertanian</t>
  </si>
  <si>
    <t>Dukungan KDMP Pengurugan Lahan Siapp Pakai DD</t>
  </si>
  <si>
    <t>Dukungan KDMP Pengurugan Lahan Siapp Pakai SDD</t>
  </si>
  <si>
    <t>Honor TPK Urug BHPR</t>
  </si>
  <si>
    <t>BLT DD 15 KPM</t>
  </si>
  <si>
    <t>Bidang</t>
  </si>
  <si>
    <t>Musdes Perubahan APBDES Ke-1 SADD</t>
  </si>
  <si>
    <t>01. PMT Posyandu Balita Blok A</t>
  </si>
  <si>
    <t>02. PMT Posyandu Balita Blok B</t>
  </si>
  <si>
    <t>03. PMT Posyandu Balita Blok C</t>
  </si>
  <si>
    <t>Uraian</t>
  </si>
  <si>
    <t>SubBidang</t>
  </si>
  <si>
    <t>Admin</t>
  </si>
  <si>
    <t>3521060911810001</t>
  </si>
  <si>
    <t>Herman Dwi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</si>
</sst>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_);_(@_)"/>
    <numFmt numFmtId="166" formatCode="_(* #,##0.00_);_(* \(#,##0.00\);_(* &quot;-&quot;??_);_(@_)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1"/>
      <name val="Bookman Old Style"/>
      <family val="1"/>
    </font>
    <font>
      <sz val="12"/>
      <name val="Bookman Old Style"/>
      <family val="1"/>
    </font>
    <font>
      <b/>
      <sz val="12"/>
      <name val="Bookman Old Style"/>
      <family val="1"/>
    </font>
    <font>
      <b/>
      <i/>
      <sz val="12"/>
      <name val="Bookman Old Style"/>
      <family val="1"/>
    </font>
    <font>
      <i/>
      <sz val="12"/>
      <name val="Bookman Old Style"/>
      <family val="1"/>
    </font>
    <font>
      <b/>
      <sz val="14"/>
      <name val="Arial"/>
      <family val="2"/>
    </font>
    <font>
      <sz val="12"/>
      <color rgb="FFFF0000"/>
      <name val="Bookman Old Style"/>
      <family val="1"/>
    </font>
    <font>
      <b/>
      <sz val="14"/>
      <name val="Bookman Old Style"/>
      <family val="1"/>
    </font>
    <font>
      <b/>
      <i/>
      <sz val="14"/>
      <name val="Bookman Old Style"/>
      <family val="1"/>
    </font>
    <font>
      <sz val="12"/>
      <color theme="3" tint="0.39997558519241921"/>
      <name val="Bookman Old Style"/>
      <family val="1"/>
    </font>
    <font>
      <sz val="12"/>
      <name val="Arial"/>
      <family val="2"/>
    </font>
    <font>
      <sz val="10"/>
      <name val="Arial"/>
      <family val="2"/>
    </font>
    <font>
      <b/>
      <sz val="9"/>
      <color indexed="81"/>
      <name val="Calibri"/>
      <family val="2"/>
    </font>
    <font>
      <sz val="9"/>
      <color indexed="81"/>
      <name val="Calibri"/>
      <family val="2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9" fillId="0" borderId="0"/>
    <xf numFmtId="0" fontId="30" fillId="0" borderId="0"/>
  </cellStyleXfs>
  <cellXfs count="203">
    <xf numFmtId="0" fontId="0" fillId="0" borderId="0" xfId="0"/>
    <xf numFmtId="0" fontId="0" fillId="0" borderId="0" xfId="0" quotePrefix="1"/>
    <xf numFmtId="0" fontId="18" fillId="0" borderId="0" xfId="0" applyFont="1"/>
    <xf numFmtId="164" fontId="18" fillId="0" borderId="0" xfId="42" applyFont="1" applyFill="1"/>
    <xf numFmtId="0" fontId="19" fillId="0" borderId="0" xfId="0" applyFont="1"/>
    <xf numFmtId="164" fontId="18" fillId="0" borderId="0" xfId="42" applyFont="1" applyFill="1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165" fontId="18" fillId="0" borderId="0" xfId="42" applyNumberFormat="1" applyFont="1" applyFill="1" applyAlignment="1">
      <alignment horizontal="left"/>
    </xf>
    <xf numFmtId="0" fontId="18" fillId="0" borderId="0" xfId="0" applyFont="1" applyAlignment="1">
      <alignment horizontal="center"/>
    </xf>
    <xf numFmtId="164" fontId="18" fillId="0" borderId="0" xfId="42" applyFont="1" applyFill="1" applyAlignment="1">
      <alignment horizontal="center"/>
    </xf>
    <xf numFmtId="43" fontId="18" fillId="0" borderId="0" xfId="0" applyNumberFormat="1" applyFont="1"/>
    <xf numFmtId="0" fontId="20" fillId="0" borderId="0" xfId="0" applyFont="1"/>
    <xf numFmtId="0" fontId="20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166" fontId="20" fillId="0" borderId="0" xfId="43" applyFont="1" applyFill="1" applyAlignment="1">
      <alignment horizontal="right"/>
    </xf>
    <xf numFmtId="164" fontId="20" fillId="0" borderId="0" xfId="42" applyFont="1" applyFill="1"/>
    <xf numFmtId="164" fontId="20" fillId="0" borderId="0" xfId="42" applyFont="1" applyFill="1" applyBorder="1" applyAlignment="1">
      <alignment horizontal="center" vertical="center" wrapText="1"/>
    </xf>
    <xf numFmtId="166" fontId="20" fillId="0" borderId="0" xfId="43" applyFont="1" applyFill="1"/>
    <xf numFmtId="0" fontId="20" fillId="0" borderId="10" xfId="0" applyFont="1" applyBorder="1" applyAlignment="1">
      <alignment horizontal="center" vertical="center"/>
    </xf>
    <xf numFmtId="164" fontId="20" fillId="0" borderId="0" xfId="42" applyFont="1" applyFill="1" applyAlignment="1">
      <alignment horizontal="center"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 applyAlignment="1">
      <alignment horizontal="right" vertical="top" wrapText="1"/>
    </xf>
    <xf numFmtId="166" fontId="21" fillId="0" borderId="10" xfId="43" applyFont="1" applyFill="1" applyBorder="1" applyAlignment="1">
      <alignment horizontal="right" vertical="top" wrapText="1"/>
    </xf>
    <xf numFmtId="164" fontId="21" fillId="0" borderId="0" xfId="42" applyFont="1" applyFill="1" applyBorder="1" applyAlignment="1">
      <alignment vertical="top" wrapText="1"/>
    </xf>
    <xf numFmtId="164" fontId="21" fillId="0" borderId="0" xfId="42" applyFont="1" applyFill="1"/>
    <xf numFmtId="0" fontId="21" fillId="0" borderId="0" xfId="0" applyFont="1"/>
    <xf numFmtId="166" fontId="21" fillId="0" borderId="0" xfId="0" applyNumberFormat="1" applyFont="1"/>
    <xf numFmtId="0" fontId="22" fillId="0" borderId="10" xfId="0" applyFont="1" applyBorder="1" applyAlignment="1">
      <alignment vertical="top" wrapText="1"/>
    </xf>
    <xf numFmtId="164" fontId="22" fillId="0" borderId="0" xfId="42" applyFont="1" applyFill="1" applyBorder="1" applyAlignment="1">
      <alignment vertical="top" wrapText="1"/>
    </xf>
    <xf numFmtId="0" fontId="22" fillId="0" borderId="10" xfId="0" applyFont="1" applyBorder="1" applyAlignment="1">
      <alignment horizontal="center" vertical="top" wrapText="1"/>
    </xf>
    <xf numFmtId="0" fontId="22" fillId="0" borderId="10" xfId="0" applyFont="1" applyBorder="1" applyAlignment="1">
      <alignment horizontal="right" vertical="top" wrapText="1"/>
    </xf>
    <xf numFmtId="166" fontId="22" fillId="0" borderId="10" xfId="43" applyFont="1" applyFill="1" applyBorder="1" applyAlignment="1">
      <alignment horizontal="right" vertical="top" wrapText="1"/>
    </xf>
    <xf numFmtId="164" fontId="22" fillId="0" borderId="0" xfId="42" applyFont="1" applyFill="1"/>
    <xf numFmtId="0" fontId="22" fillId="0" borderId="0" xfId="0" applyFont="1"/>
    <xf numFmtId="0" fontId="20" fillId="0" borderId="10" xfId="0" applyFont="1" applyBorder="1" applyAlignment="1">
      <alignment horizontal="center" vertical="top" wrapText="1"/>
    </xf>
    <xf numFmtId="0" fontId="20" fillId="0" borderId="10" xfId="0" applyFont="1" applyBorder="1" applyAlignment="1">
      <alignment vertical="top" wrapText="1"/>
    </xf>
    <xf numFmtId="166" fontId="20" fillId="0" borderId="10" xfId="43" applyFont="1" applyFill="1" applyBorder="1" applyAlignment="1">
      <alignment horizontal="right" vertical="top" wrapText="1"/>
    </xf>
    <xf numFmtId="0" fontId="20" fillId="0" borderId="10" xfId="0" applyFont="1" applyBorder="1" applyAlignment="1">
      <alignment horizontal="right" vertical="top" wrapText="1"/>
    </xf>
    <xf numFmtId="0" fontId="23" fillId="0" borderId="10" xfId="0" applyFont="1" applyBorder="1" applyAlignment="1">
      <alignment vertical="top" wrapText="1"/>
    </xf>
    <xf numFmtId="164" fontId="23" fillId="0" borderId="0" xfId="42" applyFont="1" applyFill="1" applyBorder="1" applyAlignment="1">
      <alignment vertical="top" wrapText="1"/>
    </xf>
    <xf numFmtId="0" fontId="23" fillId="0" borderId="10" xfId="0" applyFont="1" applyBorder="1" applyAlignment="1">
      <alignment horizontal="center" vertical="top" wrapText="1"/>
    </xf>
    <xf numFmtId="166" fontId="23" fillId="33" borderId="10" xfId="43" applyFont="1" applyFill="1" applyBorder="1" applyAlignment="1">
      <alignment horizontal="right" vertical="top" wrapText="1"/>
    </xf>
    <xf numFmtId="0" fontId="23" fillId="33" borderId="10" xfId="0" applyFont="1" applyFill="1" applyBorder="1" applyAlignment="1">
      <alignment vertical="top" wrapText="1"/>
    </xf>
    <xf numFmtId="164" fontId="23" fillId="0" borderId="0" xfId="42" applyFont="1" applyFill="1"/>
    <xf numFmtId="0" fontId="23" fillId="0" borderId="0" xfId="0" applyFont="1"/>
    <xf numFmtId="166" fontId="23" fillId="0" borderId="10" xfId="43" applyFont="1" applyFill="1" applyBorder="1" applyAlignment="1">
      <alignment horizontal="right" vertical="top" wrapText="1"/>
    </xf>
    <xf numFmtId="0" fontId="20" fillId="33" borderId="10" xfId="0" applyFont="1" applyFill="1" applyBorder="1" applyAlignment="1">
      <alignment vertical="top" wrapText="1"/>
    </xf>
    <xf numFmtId="164" fontId="24" fillId="0" borderId="0" xfId="42" applyFont="1" applyFill="1"/>
    <xf numFmtId="165" fontId="21" fillId="0" borderId="0" xfId="0" applyNumberFormat="1" applyFont="1"/>
    <xf numFmtId="0" fontId="22" fillId="0" borderId="10" xfId="0" quotePrefix="1" applyFont="1" applyBorder="1" applyAlignment="1">
      <alignment horizontal="center" vertical="top" wrapText="1"/>
    </xf>
    <xf numFmtId="164" fontId="22" fillId="0" borderId="10" xfId="42" applyFont="1" applyFill="1" applyBorder="1" applyAlignment="1">
      <alignment vertical="top" wrapText="1"/>
    </xf>
    <xf numFmtId="164" fontId="22" fillId="0" borderId="10" xfId="42" applyFont="1" applyFill="1" applyBorder="1"/>
    <xf numFmtId="166" fontId="22" fillId="0" borderId="10" xfId="0" applyNumberFormat="1" applyFont="1" applyBorder="1"/>
    <xf numFmtId="0" fontId="23" fillId="33" borderId="10" xfId="0" applyFont="1" applyFill="1" applyBorder="1" applyAlignment="1">
      <alignment horizontal="center" vertical="top" wrapText="1"/>
    </xf>
    <xf numFmtId="0" fontId="23" fillId="33" borderId="10" xfId="0" quotePrefix="1" applyFont="1" applyFill="1" applyBorder="1" applyAlignment="1">
      <alignment horizontal="center" vertical="top" wrapText="1"/>
    </xf>
    <xf numFmtId="0" fontId="23" fillId="33" borderId="10" xfId="0" applyFont="1" applyFill="1" applyBorder="1" applyAlignment="1">
      <alignment horizontal="right" vertical="top" wrapText="1"/>
    </xf>
    <xf numFmtId="164" fontId="20" fillId="33" borderId="0" xfId="42" applyFont="1" applyFill="1" applyAlignment="1">
      <alignment horizontal="center" vertical="top" wrapText="1"/>
    </xf>
    <xf numFmtId="164" fontId="22" fillId="33" borderId="0" xfId="42" applyFont="1" applyFill="1" applyBorder="1" applyAlignment="1">
      <alignment vertical="top" wrapText="1"/>
    </xf>
    <xf numFmtId="164" fontId="23" fillId="33" borderId="10" xfId="42" applyFont="1" applyFill="1" applyBorder="1" applyAlignment="1">
      <alignment vertical="top" wrapText="1"/>
    </xf>
    <xf numFmtId="164" fontId="23" fillId="33" borderId="10" xfId="42" applyFont="1" applyFill="1" applyBorder="1"/>
    <xf numFmtId="0" fontId="23" fillId="33" borderId="10" xfId="0" applyFont="1" applyFill="1" applyBorder="1"/>
    <xf numFmtId="0" fontId="23" fillId="33" borderId="0" xfId="0" applyFont="1" applyFill="1"/>
    <xf numFmtId="164" fontId="26" fillId="33" borderId="10" xfId="42" applyFont="1" applyFill="1" applyBorder="1"/>
    <xf numFmtId="0" fontId="23" fillId="0" borderId="10" xfId="0" quotePrefix="1" applyFont="1" applyBorder="1" applyAlignment="1">
      <alignment horizontal="center" vertical="top" wrapText="1"/>
    </xf>
    <xf numFmtId="0" fontId="23" fillId="0" borderId="10" xfId="0" applyFont="1" applyBorder="1" applyAlignment="1">
      <alignment horizontal="right" vertical="top" wrapText="1"/>
    </xf>
    <xf numFmtId="164" fontId="23" fillId="0" borderId="10" xfId="42" applyFont="1" applyFill="1" applyBorder="1" applyAlignment="1">
      <alignment vertical="top" wrapText="1"/>
    </xf>
    <xf numFmtId="164" fontId="23" fillId="0" borderId="10" xfId="42" applyFont="1" applyFill="1" applyBorder="1"/>
    <xf numFmtId="164" fontId="27" fillId="0" borderId="10" xfId="42" applyFont="1" applyFill="1" applyBorder="1"/>
    <xf numFmtId="0" fontId="23" fillId="0" borderId="10" xfId="0" applyFont="1" applyBorder="1"/>
    <xf numFmtId="0" fontId="25" fillId="0" borderId="10" xfId="0" applyFont="1" applyBorder="1" applyAlignment="1">
      <alignment horizontal="center" vertical="top" wrapText="1"/>
    </xf>
    <xf numFmtId="0" fontId="25" fillId="0" borderId="10" xfId="0" quotePrefix="1" applyFont="1" applyBorder="1" applyAlignment="1">
      <alignment horizontal="center" vertical="top" wrapText="1"/>
    </xf>
    <xf numFmtId="0" fontId="25" fillId="0" borderId="10" xfId="0" applyFont="1" applyBorder="1" applyAlignment="1">
      <alignment horizontal="right" vertical="top" wrapText="1"/>
    </xf>
    <xf numFmtId="0" fontId="25" fillId="0" borderId="10" xfId="0" applyFont="1" applyBorder="1" applyAlignment="1">
      <alignment vertical="top" wrapText="1"/>
    </xf>
    <xf numFmtId="164" fontId="20" fillId="0" borderId="10" xfId="42" applyFont="1" applyFill="1" applyBorder="1"/>
    <xf numFmtId="0" fontId="20" fillId="0" borderId="10" xfId="0" quotePrefix="1" applyFont="1" applyBorder="1" applyAlignment="1">
      <alignment horizontal="center" vertical="top" wrapText="1"/>
    </xf>
    <xf numFmtId="4" fontId="23" fillId="0" borderId="0" xfId="0" applyNumberFormat="1" applyFont="1"/>
    <xf numFmtId="166" fontId="20" fillId="0" borderId="10" xfId="0" applyNumberFormat="1" applyFont="1" applyBorder="1"/>
    <xf numFmtId="0" fontId="28" fillId="0" borderId="10" xfId="0" applyFont="1" applyBorder="1" applyAlignment="1">
      <alignment horizontal="center" vertical="top" wrapText="1"/>
    </xf>
    <xf numFmtId="0" fontId="28" fillId="0" borderId="10" xfId="0" applyFont="1" applyBorder="1" applyAlignment="1">
      <alignment horizontal="right" vertical="top" wrapText="1"/>
    </xf>
    <xf numFmtId="0" fontId="28" fillId="0" borderId="10" xfId="0" applyFont="1" applyBorder="1" applyAlignment="1">
      <alignment vertical="top" wrapText="1"/>
    </xf>
    <xf numFmtId="166" fontId="28" fillId="0" borderId="10" xfId="43" applyFont="1" applyFill="1" applyBorder="1" applyAlignment="1">
      <alignment horizontal="right" vertical="top" wrapText="1"/>
    </xf>
    <xf numFmtId="0" fontId="28" fillId="0" borderId="0" xfId="0" applyFont="1"/>
    <xf numFmtId="166" fontId="23" fillId="0" borderId="10" xfId="0" applyNumberFormat="1" applyFont="1" applyBorder="1" applyAlignment="1">
      <alignment horizontal="right" vertical="top" wrapText="1"/>
    </xf>
    <xf numFmtId="166" fontId="23" fillId="0" borderId="10" xfId="0" applyNumberFormat="1" applyFont="1" applyBorder="1" applyAlignment="1">
      <alignment vertical="top" wrapText="1"/>
    </xf>
    <xf numFmtId="0" fontId="23" fillId="0" borderId="0" xfId="0" applyFont="1" applyAlignment="1">
      <alignment vertical="top" wrapText="1"/>
    </xf>
    <xf numFmtId="166" fontId="23" fillId="0" borderId="0" xfId="0" applyNumberFormat="1" applyFont="1" applyAlignment="1">
      <alignment vertical="top" wrapText="1"/>
    </xf>
    <xf numFmtId="0" fontId="23" fillId="0" borderId="10" xfId="0" quotePrefix="1" applyFont="1" applyBorder="1" applyAlignment="1">
      <alignment horizontal="right" vertical="top" wrapText="1"/>
    </xf>
    <xf numFmtId="0" fontId="22" fillId="0" borderId="10" xfId="0" quotePrefix="1" applyFont="1" applyBorder="1" applyAlignment="1">
      <alignment horizontal="right" vertical="top" wrapText="1"/>
    </xf>
    <xf numFmtId="0" fontId="22" fillId="0" borderId="10" xfId="0" applyFont="1" applyBorder="1"/>
    <xf numFmtId="166" fontId="23" fillId="0" borderId="10" xfId="0" applyNumberFormat="1" applyFont="1" applyBorder="1"/>
    <xf numFmtId="164" fontId="20" fillId="33" borderId="10" xfId="42" applyFont="1" applyFill="1" applyBorder="1" applyAlignment="1">
      <alignment vertical="top" wrapText="1"/>
    </xf>
    <xf numFmtId="0" fontId="20" fillId="0" borderId="10" xfId="45" quotePrefix="1" applyFont="1" applyBorder="1" applyAlignment="1">
      <alignment horizontal="center" vertical="top"/>
    </xf>
    <xf numFmtId="0" fontId="23" fillId="0" borderId="10" xfId="45" applyFont="1" applyBorder="1" applyAlignment="1">
      <alignment horizontal="center" vertical="top"/>
    </xf>
    <xf numFmtId="0" fontId="23" fillId="0" borderId="10" xfId="45" quotePrefix="1" applyFont="1" applyBorder="1" applyAlignment="1">
      <alignment horizontal="center" vertical="top"/>
    </xf>
    <xf numFmtId="0" fontId="23" fillId="0" borderId="14" xfId="44" applyFont="1" applyBorder="1" applyAlignment="1">
      <alignment vertical="top"/>
    </xf>
    <xf numFmtId="0" fontId="23" fillId="0" borderId="14" xfId="44" applyFont="1" applyBorder="1" applyAlignment="1">
      <alignment vertical="top" wrapText="1"/>
    </xf>
    <xf numFmtId="0" fontId="21" fillId="0" borderId="10" xfId="0" applyFont="1" applyBorder="1" applyAlignment="1">
      <alignment horizontal="center" vertical="top"/>
    </xf>
    <xf numFmtId="0" fontId="21" fillId="0" borderId="10" xfId="0" quotePrefix="1" applyFont="1" applyBorder="1" applyAlignment="1">
      <alignment horizontal="center" vertical="top"/>
    </xf>
    <xf numFmtId="0" fontId="22" fillId="0" borderId="10" xfId="0" quotePrefix="1" applyFont="1" applyBorder="1" applyAlignment="1">
      <alignment horizontal="center" vertical="top"/>
    </xf>
    <xf numFmtId="0" fontId="21" fillId="0" borderId="10" xfId="0" applyFont="1" applyBorder="1" applyAlignment="1">
      <alignment horizontal="right" vertical="top"/>
    </xf>
    <xf numFmtId="0" fontId="21" fillId="0" borderId="14" xfId="45" applyFont="1" applyBorder="1" applyAlignment="1">
      <alignment vertical="top" wrapText="1"/>
    </xf>
    <xf numFmtId="0" fontId="21" fillId="0" borderId="10" xfId="0" applyFont="1" applyBorder="1" applyAlignment="1">
      <alignment vertical="top"/>
    </xf>
    <xf numFmtId="166" fontId="21" fillId="0" borderId="10" xfId="43" applyFont="1" applyFill="1" applyBorder="1" applyAlignment="1">
      <alignment horizontal="right" vertical="top"/>
    </xf>
    <xf numFmtId="164" fontId="21" fillId="0" borderId="10" xfId="42" applyFont="1" applyFill="1" applyBorder="1" applyAlignment="1"/>
    <xf numFmtId="0" fontId="21" fillId="0" borderId="10" xfId="0" applyFont="1" applyBorder="1"/>
    <xf numFmtId="0" fontId="23" fillId="0" borderId="12" xfId="44" applyFont="1" applyBorder="1" applyAlignment="1">
      <alignment horizontal="center" vertical="top"/>
    </xf>
    <xf numFmtId="0" fontId="23" fillId="0" borderId="10" xfId="44" applyFont="1" applyBorder="1" applyAlignment="1">
      <alignment vertical="top" wrapText="1"/>
    </xf>
    <xf numFmtId="0" fontId="23" fillId="0" borderId="13" xfId="44" applyFont="1" applyBorder="1" applyAlignment="1">
      <alignment horizontal="center" vertical="top"/>
    </xf>
    <xf numFmtId="0" fontId="20" fillId="0" borderId="13" xfId="0" applyFont="1" applyBorder="1" applyAlignment="1">
      <alignment horizontal="center" vertical="top" wrapText="1"/>
    </xf>
    <xf numFmtId="0" fontId="23" fillId="0" borderId="12" xfId="44" quotePrefix="1" applyFont="1" applyBorder="1" applyAlignment="1">
      <alignment horizontal="center" vertical="top"/>
    </xf>
    <xf numFmtId="0" fontId="23" fillId="0" borderId="13" xfId="44" applyFont="1" applyBorder="1" applyAlignment="1">
      <alignment horizontal="center" vertical="top" wrapText="1"/>
    </xf>
    <xf numFmtId="0" fontId="23" fillId="0" borderId="10" xfId="44" applyFont="1" applyBorder="1" applyAlignment="1">
      <alignment vertical="top"/>
    </xf>
    <xf numFmtId="0" fontId="23" fillId="0" borderId="10" xfId="44" applyFont="1" applyBorder="1" applyAlignment="1">
      <alignment horizontal="center" vertical="top"/>
    </xf>
    <xf numFmtId="0" fontId="23" fillId="0" borderId="10" xfId="44" quotePrefix="1" applyFont="1" applyBorder="1" applyAlignment="1">
      <alignment horizontal="center" vertical="top"/>
    </xf>
    <xf numFmtId="0" fontId="22" fillId="0" borderId="10" xfId="44" applyFont="1" applyBorder="1" applyAlignment="1">
      <alignment horizontal="center" vertical="top"/>
    </xf>
    <xf numFmtId="0" fontId="22" fillId="0" borderId="10" xfId="45" quotePrefix="1" applyFont="1" applyBorder="1" applyAlignment="1">
      <alignment horizontal="center" vertical="top"/>
    </xf>
    <xf numFmtId="0" fontId="21" fillId="0" borderId="10" xfId="0" quotePrefix="1" applyFont="1" applyBorder="1" applyAlignment="1">
      <alignment horizontal="right" vertical="top" wrapText="1"/>
    </xf>
    <xf numFmtId="0" fontId="22" fillId="0" borderId="10" xfId="44" applyFont="1" applyBorder="1" applyAlignment="1">
      <alignment vertical="top" wrapText="1"/>
    </xf>
    <xf numFmtId="0" fontId="22" fillId="0" borderId="10" xfId="44" applyFont="1" applyBorder="1" applyAlignment="1">
      <alignment horizontal="center" vertical="top" wrapText="1"/>
    </xf>
    <xf numFmtId="166" fontId="22" fillId="0" borderId="10" xfId="44" applyNumberFormat="1" applyFont="1" applyBorder="1" applyAlignment="1">
      <alignment horizontal="right" vertical="top" wrapText="1"/>
    </xf>
    <xf numFmtId="164" fontId="21" fillId="0" borderId="10" xfId="42" applyFont="1" applyFill="1" applyBorder="1"/>
    <xf numFmtId="166" fontId="21" fillId="0" borderId="10" xfId="0" applyNumberFormat="1" applyFont="1" applyBorder="1"/>
    <xf numFmtId="0" fontId="23" fillId="0" borderId="13" xfId="0" applyFont="1" applyBorder="1" applyAlignment="1">
      <alignment horizontal="center" vertical="top" wrapText="1"/>
    </xf>
    <xf numFmtId="0" fontId="21" fillId="0" borderId="10" xfId="44" applyFont="1" applyBorder="1" applyAlignment="1">
      <alignment horizontal="center" vertical="top"/>
    </xf>
    <xf numFmtId="0" fontId="21" fillId="0" borderId="10" xfId="45" quotePrefix="1" applyFont="1" applyBorder="1" applyAlignment="1">
      <alignment horizontal="center" vertical="top"/>
    </xf>
    <xf numFmtId="0" fontId="21" fillId="0" borderId="12" xfId="44" quotePrefix="1" applyFont="1" applyBorder="1" applyAlignment="1">
      <alignment horizontal="center" vertical="top"/>
    </xf>
    <xf numFmtId="0" fontId="21" fillId="0" borderId="10" xfId="45" applyFont="1" applyBorder="1" applyAlignment="1">
      <alignment vertical="top"/>
    </xf>
    <xf numFmtId="0" fontId="21" fillId="0" borderId="13" xfId="0" applyFont="1" applyBorder="1" applyAlignment="1">
      <alignment horizontal="center" vertical="top" wrapText="1"/>
    </xf>
    <xf numFmtId="0" fontId="21" fillId="33" borderId="10" xfId="0" applyFont="1" applyFill="1" applyBorder="1" applyAlignment="1">
      <alignment vertical="top" wrapText="1"/>
    </xf>
    <xf numFmtId="0" fontId="21" fillId="0" borderId="10" xfId="0" quotePrefix="1" applyFont="1" applyBorder="1" applyAlignment="1">
      <alignment horizontal="center" vertical="top" wrapText="1"/>
    </xf>
    <xf numFmtId="0" fontId="20" fillId="0" borderId="10" xfId="45" applyFont="1" applyBorder="1" applyAlignment="1">
      <alignment horizontal="center" vertical="top"/>
    </xf>
    <xf numFmtId="0" fontId="21" fillId="0" borderId="10" xfId="45" applyFont="1" applyBorder="1" applyAlignment="1">
      <alignment horizontal="center" vertical="top"/>
    </xf>
    <xf numFmtId="0" fontId="21" fillId="0" borderId="10" xfId="44" applyFont="1" applyBorder="1" applyAlignment="1">
      <alignment vertical="top"/>
    </xf>
    <xf numFmtId="0" fontId="21" fillId="0" borderId="13" xfId="44" applyFont="1" applyBorder="1" applyAlignment="1">
      <alignment horizontal="center" vertical="top"/>
    </xf>
    <xf numFmtId="164" fontId="28" fillId="0" borderId="0" xfId="42" applyFont="1" applyFill="1"/>
    <xf numFmtId="0" fontId="23" fillId="0" borderId="13" xfId="0" quotePrefix="1" applyFont="1" applyBorder="1" applyAlignment="1">
      <alignment horizontal="center" vertical="top" wrapText="1"/>
    </xf>
    <xf numFmtId="0" fontId="23" fillId="0" borderId="13" xfId="44" quotePrefix="1" applyFont="1" applyBorder="1" applyAlignment="1">
      <alignment horizontal="center" vertical="top" wrapText="1"/>
    </xf>
    <xf numFmtId="166" fontId="23" fillId="0" borderId="0" xfId="0" applyNumberFormat="1" applyFont="1"/>
    <xf numFmtId="166" fontId="23" fillId="0" borderId="10" xfId="44" applyNumberFormat="1" applyFont="1" applyBorder="1" applyAlignment="1">
      <alignment horizontal="right" vertical="top"/>
    </xf>
    <xf numFmtId="164" fontId="23" fillId="0" borderId="0" xfId="42" applyFont="1" applyFill="1" applyBorder="1" applyAlignment="1">
      <alignment vertical="top"/>
    </xf>
    <xf numFmtId="0" fontId="23" fillId="0" borderId="0" xfId="44" applyFont="1" applyAlignment="1">
      <alignment vertical="top"/>
    </xf>
    <xf numFmtId="0" fontId="20" fillId="33" borderId="10" xfId="0" applyFont="1" applyFill="1" applyBorder="1" applyAlignment="1">
      <alignment horizontal="left" vertical="top" wrapText="1"/>
    </xf>
    <xf numFmtId="0" fontId="20" fillId="0" borderId="10" xfId="45" quotePrefix="1" applyFont="1" applyBorder="1" applyAlignment="1">
      <alignment horizontal="right" vertical="top"/>
    </xf>
    <xf numFmtId="0" fontId="20" fillId="0" borderId="10" xfId="0" applyFont="1" applyBorder="1" applyAlignment="1">
      <alignment horizontal="left" vertical="top" wrapText="1"/>
    </xf>
    <xf numFmtId="164" fontId="20" fillId="0" borderId="0" xfId="42" applyFont="1" applyFill="1" applyAlignment="1">
      <alignment horizontal="left"/>
    </xf>
    <xf numFmtId="0" fontId="20" fillId="0" borderId="0" xfId="0" applyFont="1" applyAlignment="1">
      <alignment horizontal="left"/>
    </xf>
    <xf numFmtId="0" fontId="23" fillId="0" borderId="10" xfId="45" applyFont="1" applyBorder="1" applyAlignment="1">
      <alignment horizontal="center" vertical="top" wrapText="1"/>
    </xf>
    <xf numFmtId="0" fontId="23" fillId="0" borderId="10" xfId="45" quotePrefix="1" applyFont="1" applyBorder="1" applyAlignment="1">
      <alignment horizontal="center" vertical="top" wrapText="1"/>
    </xf>
    <xf numFmtId="164" fontId="23" fillId="0" borderId="0" xfId="42" applyFont="1" applyFill="1" applyAlignment="1">
      <alignment wrapText="1"/>
    </xf>
    <xf numFmtId="0" fontId="23" fillId="0" borderId="0" xfId="0" applyFont="1" applyAlignment="1">
      <alignment wrapText="1"/>
    </xf>
    <xf numFmtId="0" fontId="22" fillId="0" borderId="10" xfId="44" applyFont="1" applyBorder="1" applyAlignment="1">
      <alignment vertical="top"/>
    </xf>
    <xf numFmtId="0" fontId="20" fillId="0" borderId="13" xfId="44" applyFont="1" applyBorder="1" applyAlignment="1">
      <alignment horizontal="center" vertical="top"/>
    </xf>
    <xf numFmtId="0" fontId="23" fillId="0" borderId="10" xfId="45" quotePrefix="1" applyFont="1" applyBorder="1" applyAlignment="1">
      <alignment horizontal="right" vertical="top"/>
    </xf>
    <xf numFmtId="0" fontId="23" fillId="0" borderId="10" xfId="0" applyFont="1" applyBorder="1" applyAlignment="1">
      <alignment horizontal="left" vertical="top" wrapText="1"/>
    </xf>
    <xf numFmtId="164" fontId="23" fillId="0" borderId="0" xfId="42" applyFont="1" applyFill="1" applyAlignment="1">
      <alignment horizontal="left"/>
    </xf>
    <xf numFmtId="0" fontId="23" fillId="0" borderId="0" xfId="0" applyFont="1" applyAlignment="1">
      <alignment horizontal="left"/>
    </xf>
    <xf numFmtId="0" fontId="22" fillId="0" borderId="13" xfId="0" applyFont="1" applyBorder="1" applyAlignment="1">
      <alignment horizontal="center" vertical="top" wrapText="1"/>
    </xf>
    <xf numFmtId="0" fontId="23" fillId="0" borderId="10" xfId="44" applyFont="1" applyBorder="1" applyAlignment="1">
      <alignment horizontal="left" vertical="top" wrapText="1"/>
    </xf>
    <xf numFmtId="0" fontId="21" fillId="0" borderId="10" xfId="44" applyFont="1" applyBorder="1" applyAlignment="1">
      <alignment horizontal="left" vertical="top" wrapText="1"/>
    </xf>
    <xf numFmtId="0" fontId="22" fillId="0" borderId="14" xfId="44" applyFont="1" applyBorder="1" applyAlignment="1">
      <alignment vertical="top"/>
    </xf>
    <xf numFmtId="0" fontId="23" fillId="0" borderId="14" xfId="44" applyFont="1" applyBorder="1" applyAlignment="1">
      <alignment horizontal="left" vertical="top" wrapText="1"/>
    </xf>
    <xf numFmtId="0" fontId="22" fillId="0" borderId="14" xfId="44" applyFont="1" applyBorder="1" applyAlignment="1">
      <alignment horizontal="left" vertical="top" wrapText="1"/>
    </xf>
    <xf numFmtId="0" fontId="23" fillId="0" borderId="10" xfId="45" applyFont="1" applyBorder="1" applyAlignment="1">
      <alignment vertical="top"/>
    </xf>
    <xf numFmtId="0" fontId="23" fillId="0" borderId="13" xfId="45" applyFont="1" applyBorder="1" applyAlignment="1">
      <alignment horizontal="center" vertical="top"/>
    </xf>
    <xf numFmtId="0" fontId="23" fillId="0" borderId="10" xfId="45" applyFont="1" applyBorder="1" applyAlignment="1">
      <alignment vertical="top" wrapText="1"/>
    </xf>
    <xf numFmtId="0" fontId="23" fillId="0" borderId="13" xfId="45" applyFont="1" applyBorder="1" applyAlignment="1">
      <alignment horizontal="center" vertical="top" wrapText="1"/>
    </xf>
    <xf numFmtId="0" fontId="28" fillId="0" borderId="15" xfId="0" applyFont="1" applyBorder="1" applyAlignment="1">
      <alignment horizontal="left" vertical="top"/>
    </xf>
    <xf numFmtId="0" fontId="20" fillId="0" borderId="15" xfId="0" applyFont="1" applyBorder="1" applyAlignment="1">
      <alignment horizontal="left" vertical="top"/>
    </xf>
    <xf numFmtId="0" fontId="2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right" vertical="center" wrapText="1"/>
    </xf>
    <xf numFmtId="0" fontId="21" fillId="0" borderId="10" xfId="0" applyFont="1" applyBorder="1" applyAlignment="1">
      <alignment vertical="center" wrapText="1"/>
    </xf>
    <xf numFmtId="166" fontId="21" fillId="0" borderId="10" xfId="43" applyFont="1" applyFill="1" applyBorder="1" applyAlignment="1">
      <alignment horizontal="right" vertical="center" wrapText="1"/>
    </xf>
    <xf numFmtId="164" fontId="21" fillId="0" borderId="0" xfId="42" applyFont="1" applyFill="1" applyAlignment="1">
      <alignment vertical="center"/>
    </xf>
    <xf numFmtId="166" fontId="2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10" xfId="0" quotePrefix="1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0" fillId="0" borderId="0" xfId="0" quotePrefix="1" applyFont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right" vertical="top" wrapText="1"/>
    </xf>
    <xf numFmtId="0" fontId="20" fillId="0" borderId="0" xfId="0" applyFont="1" applyAlignment="1">
      <alignment horizontal="center" vertical="top" wrapText="1"/>
    </xf>
    <xf numFmtId="166" fontId="20" fillId="0" borderId="0" xfId="43" applyFont="1" applyFill="1" applyAlignment="1">
      <alignment horizontal="right" vertical="top" wrapText="1"/>
    </xf>
    <xf numFmtId="164" fontId="21" fillId="0" borderId="0" xfId="42" applyFont="1" applyFill="1" applyAlignment="1">
      <alignment horizontal="center" vertical="top" wrapText="1"/>
    </xf>
    <xf numFmtId="166" fontId="20" fillId="0" borderId="0" xfId="0" applyNumberFormat="1" applyFont="1" applyAlignment="1">
      <alignment horizontal="center" vertical="top" wrapText="1"/>
    </xf>
    <xf numFmtId="165" fontId="18" fillId="0" borderId="0" xfId="42" applyNumberFormat="1" applyFont="1" applyFill="1" applyAlignment="1">
      <alignment horizontal="right"/>
    </xf>
    <xf numFmtId="166" fontId="18" fillId="0" borderId="0" xfId="0" applyNumberFormat="1" applyFont="1"/>
    <xf numFmtId="4" fontId="18" fillId="0" borderId="0" xfId="0" applyNumberFormat="1" applyFont="1" applyAlignment="1">
      <alignment horizontal="right"/>
    </xf>
    <xf numFmtId="4" fontId="18" fillId="0" borderId="0" xfId="0" applyNumberFormat="1" applyFont="1"/>
    <xf numFmtId="166" fontId="18" fillId="0" borderId="0" xfId="0" applyNumberFormat="1" applyFont="1" applyAlignment="1">
      <alignment horizontal="right"/>
    </xf>
    <xf numFmtId="165" fontId="18" fillId="0" borderId="0" xfId="0" applyNumberFormat="1" applyFont="1"/>
    <xf numFmtId="3" fontId="19" fillId="0" borderId="0" xfId="0" applyNumberFormat="1" applyFont="1"/>
    <xf numFmtId="0" fontId="0" fillId="33" borderId="0" xfId="0" applyFill="1"/>
    <xf numFmtId="0" fontId="20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20" fillId="0" borderId="10" xfId="0" applyFont="1" applyBorder="1" applyAlignment="1">
      <alignment horizontal="center" vertical="center"/>
    </xf>
    <xf numFmtId="166" fontId="20" fillId="0" borderId="11" xfId="43" applyFont="1" applyFill="1" applyBorder="1" applyAlignment="1">
      <alignment horizontal="center" vertical="center" wrapText="1"/>
    </xf>
    <xf numFmtId="166" fontId="20" fillId="0" borderId="12" xfId="43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left"/>
    </xf>
    <xf numFmtId="0" fontId="0" fillId="0" borderId="0" xfId="0" applyFill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[0] 2" xfId="42" xr:uid="{2F4509A0-4236-492B-9B1D-5A93C6D703CC}"/>
    <cellStyle name="Comma 2" xfId="43" xr:uid="{6D73E6EA-52CB-48C0-91C7-E170E8A52347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 xr:uid="{74CDEC1A-6BD6-48F6-8F27-31ACFE5B8C33}"/>
    <cellStyle name="Normal 2 2" xfId="44" xr:uid="{67F2867C-9309-417A-B817-88EB913DE03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4208690</xdr:colOff>
      <xdr:row>0</xdr:row>
      <xdr:rowOff>68035</xdr:rowOff>
    </xdr:from>
    <xdr:to>
      <xdr:col>12</xdr:col>
      <xdr:colOff>148538</xdr:colOff>
      <xdr:row>8</xdr:row>
      <xdr:rowOff>108856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39A64A9-23B9-4DA2-B523-0788F1E98C70}"/>
            </a:ext>
          </a:extLst>
        </xdr:cNvPr>
        <xdr:cNvSpPr txBox="1"/>
      </xdr:nvSpPr>
      <xdr:spPr>
        <a:xfrm>
          <a:off x="7165250" y="68035"/>
          <a:ext cx="5510568" cy="14429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>
              <a:latin typeface="Bookman Old Style" panose="02050604050505020204" pitchFamily="18" charset="0"/>
            </a:rPr>
            <a:t>LAMPIRAN</a:t>
          </a:r>
          <a:endParaRPr lang="id-ID" sz="1100">
            <a:latin typeface="Bookman Old Style" panose="02050604050505020204" pitchFamily="18" charset="0"/>
          </a:endParaRPr>
        </a:p>
        <a:p>
          <a:r>
            <a:rPr lang="id-ID" sz="1100" baseline="0">
              <a:latin typeface="Bookman Old Style" panose="02050604050505020204" pitchFamily="18" charset="0"/>
            </a:rPr>
            <a:t>RANCANGAN </a:t>
          </a:r>
          <a:r>
            <a:rPr lang="en-ID" sz="1100" baseline="0">
              <a:latin typeface="Bookman Old Style" panose="02050604050505020204" pitchFamily="18" charset="0"/>
            </a:rPr>
            <a:t>PERATURAN KEPALA DESA</a:t>
          </a:r>
        </a:p>
        <a:p>
          <a:r>
            <a:rPr lang="en-ID" sz="1100" baseline="0">
              <a:latin typeface="Bookman Old Style" panose="02050604050505020204" pitchFamily="18" charset="0"/>
            </a:rPr>
            <a:t>NOMOR </a:t>
          </a:r>
          <a:r>
            <a:rPr lang="en-US" sz="1100" baseline="0">
              <a:latin typeface="Bookman Old Style" panose="02050604050505020204" pitchFamily="18" charset="0"/>
            </a:rPr>
            <a:t>5</a:t>
          </a:r>
          <a:r>
            <a:rPr lang="id-ID" sz="1100" baseline="0">
              <a:latin typeface="Bookman Old Style" panose="02050604050505020204" pitchFamily="18" charset="0"/>
            </a:rPr>
            <a:t> </a:t>
          </a:r>
          <a:r>
            <a:rPr lang="en-ID" sz="1100" baseline="0">
              <a:latin typeface="Bookman Old Style" panose="02050604050505020204" pitchFamily="18" charset="0"/>
            </a:rPr>
            <a:t>TAHUN 2024</a:t>
          </a:r>
        </a:p>
        <a:p>
          <a:endParaRPr lang="en-ID" sz="1100" baseline="0">
            <a:latin typeface="Bookman Old Style" panose="02050604050505020204" pitchFamily="18" charset="0"/>
          </a:endParaRPr>
        </a:p>
        <a:p>
          <a:r>
            <a:rPr lang="en-ID" sz="1100" baseline="0">
              <a:latin typeface="Bookman Old Style" panose="02050604050505020204" pitchFamily="18" charset="0"/>
            </a:rPr>
            <a:t>PENJABARAN PERUBAHAN ANGGARAN PENDAPATAN DAN BELANJA DESA TAHUN ANGGARAN 2024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4208690</xdr:colOff>
      <xdr:row>0</xdr:row>
      <xdr:rowOff>68035</xdr:rowOff>
    </xdr:from>
    <xdr:to>
      <xdr:col>12</xdr:col>
      <xdr:colOff>148538</xdr:colOff>
      <xdr:row>8</xdr:row>
      <xdr:rowOff>108856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A2E497-37B6-43A8-A93E-4D4758E56A75}"/>
            </a:ext>
          </a:extLst>
        </xdr:cNvPr>
        <xdr:cNvSpPr txBox="1"/>
      </xdr:nvSpPr>
      <xdr:spPr>
        <a:xfrm>
          <a:off x="7165250" y="68035"/>
          <a:ext cx="5510568" cy="14429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>
              <a:latin typeface="Bookman Old Style" panose="02050604050505020204" pitchFamily="18" charset="0"/>
            </a:rPr>
            <a:t>LAMPIRAN</a:t>
          </a:r>
          <a:endParaRPr lang="id-ID" sz="1100">
            <a:latin typeface="Bookman Old Style" panose="02050604050505020204" pitchFamily="18" charset="0"/>
          </a:endParaRPr>
        </a:p>
        <a:p>
          <a:r>
            <a:rPr lang="id-ID" sz="1100" baseline="0">
              <a:latin typeface="Bookman Old Style" panose="02050604050505020204" pitchFamily="18" charset="0"/>
            </a:rPr>
            <a:t>RANCANGAN </a:t>
          </a:r>
          <a:r>
            <a:rPr lang="en-ID" sz="1100" baseline="0">
              <a:latin typeface="Bookman Old Style" panose="02050604050505020204" pitchFamily="18" charset="0"/>
            </a:rPr>
            <a:t>PERATURAN KEPALA DESA</a:t>
          </a:r>
        </a:p>
        <a:p>
          <a:r>
            <a:rPr lang="en-ID" sz="1100" baseline="0">
              <a:latin typeface="Bookman Old Style" panose="02050604050505020204" pitchFamily="18" charset="0"/>
            </a:rPr>
            <a:t>NOMOR </a:t>
          </a:r>
          <a:r>
            <a:rPr lang="en-US" sz="1100" baseline="0">
              <a:latin typeface="Bookman Old Style" panose="02050604050505020204" pitchFamily="18" charset="0"/>
            </a:rPr>
            <a:t>5</a:t>
          </a:r>
          <a:r>
            <a:rPr lang="id-ID" sz="1100" baseline="0">
              <a:latin typeface="Bookman Old Style" panose="02050604050505020204" pitchFamily="18" charset="0"/>
            </a:rPr>
            <a:t> </a:t>
          </a:r>
          <a:r>
            <a:rPr lang="en-ID" sz="1100" baseline="0">
              <a:latin typeface="Bookman Old Style" panose="02050604050505020204" pitchFamily="18" charset="0"/>
            </a:rPr>
            <a:t>TAHUN 2024</a:t>
          </a:r>
        </a:p>
        <a:p>
          <a:endParaRPr lang="en-ID" sz="1100" baseline="0">
            <a:latin typeface="Bookman Old Style" panose="02050604050505020204" pitchFamily="18" charset="0"/>
          </a:endParaRPr>
        </a:p>
        <a:p>
          <a:r>
            <a:rPr lang="en-ID" sz="1100" baseline="0">
              <a:latin typeface="Bookman Old Style" panose="02050604050505020204" pitchFamily="18" charset="0"/>
            </a:rPr>
            <a:t>PENJABARAN PERUBAHAN ANGGARAN PENDAPATAN DAN BELANJA DESA TAHUN ANGGARAN 2024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4208690</xdr:colOff>
      <xdr:row>0</xdr:row>
      <xdr:rowOff>68035</xdr:rowOff>
    </xdr:from>
    <xdr:to>
      <xdr:col>12</xdr:col>
      <xdr:colOff>148538</xdr:colOff>
      <xdr:row>8</xdr:row>
      <xdr:rowOff>108856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07A268-6EA1-4319-988C-6D14714C6AB7}"/>
            </a:ext>
          </a:extLst>
        </xdr:cNvPr>
        <xdr:cNvSpPr txBox="1"/>
      </xdr:nvSpPr>
      <xdr:spPr>
        <a:xfrm>
          <a:off x="7165250" y="68035"/>
          <a:ext cx="5510568" cy="14429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>
              <a:latin typeface="Bookman Old Style" panose="02050604050505020204" pitchFamily="18" charset="0"/>
            </a:rPr>
            <a:t>LAMPIRAN</a:t>
          </a:r>
          <a:endParaRPr lang="id-ID" sz="1100">
            <a:latin typeface="Bookman Old Style" panose="02050604050505020204" pitchFamily="18" charset="0"/>
          </a:endParaRPr>
        </a:p>
        <a:p>
          <a:r>
            <a:rPr lang="id-ID" sz="1100" baseline="0">
              <a:latin typeface="Bookman Old Style" panose="02050604050505020204" pitchFamily="18" charset="0"/>
            </a:rPr>
            <a:t>RANCANGAN </a:t>
          </a:r>
          <a:r>
            <a:rPr lang="en-ID" sz="1100" baseline="0">
              <a:latin typeface="Bookman Old Style" panose="02050604050505020204" pitchFamily="18" charset="0"/>
            </a:rPr>
            <a:t>PERATURAN KEPALA DESA</a:t>
          </a:r>
        </a:p>
        <a:p>
          <a:r>
            <a:rPr lang="en-ID" sz="1100" baseline="0">
              <a:latin typeface="Bookman Old Style" panose="02050604050505020204" pitchFamily="18" charset="0"/>
            </a:rPr>
            <a:t>NOMOR </a:t>
          </a:r>
          <a:r>
            <a:rPr lang="en-US" sz="1100" baseline="0">
              <a:latin typeface="Bookman Old Style" panose="02050604050505020204" pitchFamily="18" charset="0"/>
            </a:rPr>
            <a:t>5</a:t>
          </a:r>
          <a:r>
            <a:rPr lang="id-ID" sz="1100" baseline="0">
              <a:latin typeface="Bookman Old Style" panose="02050604050505020204" pitchFamily="18" charset="0"/>
            </a:rPr>
            <a:t> </a:t>
          </a:r>
          <a:r>
            <a:rPr lang="en-ID" sz="1100" baseline="0">
              <a:latin typeface="Bookman Old Style" panose="02050604050505020204" pitchFamily="18" charset="0"/>
            </a:rPr>
            <a:t>TAHUN 2024</a:t>
          </a:r>
        </a:p>
        <a:p>
          <a:endParaRPr lang="en-ID" sz="1100" baseline="0">
            <a:latin typeface="Bookman Old Style" panose="02050604050505020204" pitchFamily="18" charset="0"/>
          </a:endParaRPr>
        </a:p>
        <a:p>
          <a:r>
            <a:rPr lang="en-ID" sz="1100" baseline="0">
              <a:latin typeface="Bookman Old Style" panose="02050604050505020204" pitchFamily="18" charset="0"/>
            </a:rPr>
            <a:t>PENJABARAN PERUBAHAN ANGGARAN PENDAPATAN DAN BELANJA DESA TAHUN ANGGARAN 2024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FlashDisk%2016%20Des%202022\APBDES%202025\Form_Rapermen_Pemdes_141007\Form_Rapermen_PPD_Perancanaan_141007\FORM%20PELAKSANAAN%20PEMBANGUNAN%20DESA\Form.25.b.%20Lembar%20Catatan%20Pemeriksaan%20Desai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FlashDisk%2016%20Des%202022\PAPBDES%202025\KERTAS%20KERJA%20APBDES%20DAN%20PENJABARAN%20D%202025%20Ok%20evaluasi%20perubahan%20Perkades%20apbdes%20cek%20masalah.xlsx" TargetMode="External"/><Relationship Id="rId1" Type="http://schemas.openxmlformats.org/officeDocument/2006/relationships/externalLinkPath" Target="file:///D:\Data%20FlashDisk%2016%20Des%202022\PAPBDES%202025\KERTAS%20KERJA%20APBDES%20DAN%20PENJABARAN%20D%202025%20Ok%20evaluasi%20perubahan%20Perkades%20apbdes%20cek%20masalah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090123/Downloads/KERTAS%20KERJA%20APBDES%20DAN%20PENJABARAN%20(APBDES%202023)%20aziz%20%20tambah%20rab%20hAsil%20Evaluasi%20Kecamat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25.b LEMBAR CATATAN"/>
    </sheetNames>
    <sheetDataSet>
      <sheetData sheetId="0">
        <row r="3">
          <cell r="A3" t="str">
            <v>LEMBAR CATATAN PEMERIKSAAN</v>
          </cell>
        </row>
        <row r="5">
          <cell r="B5" t="str">
            <v xml:space="preserve">Lokasi                    </v>
          </cell>
          <cell r="D5" t="str">
            <v>:</v>
          </cell>
        </row>
        <row r="7">
          <cell r="B7" t="str">
            <v xml:space="preserve">Dibuat oleh        </v>
          </cell>
          <cell r="D7" t="str">
            <v>:</v>
          </cell>
          <cell r="I7" t="str">
            <v>Pemeriksaan ke :</v>
          </cell>
        </row>
        <row r="9">
          <cell r="B9" t="str">
            <v xml:space="preserve">Jabatan           </v>
          </cell>
          <cell r="D9" t="str">
            <v>:</v>
          </cell>
          <cell r="I9" t="str">
            <v>Tanggal diserahkan :</v>
          </cell>
        </row>
        <row r="11">
          <cell r="B11" t="str">
            <v>Jenis Prasarana :</v>
          </cell>
          <cell r="I11" t="str">
            <v>Tanggal diperiksa :</v>
          </cell>
        </row>
        <row r="15">
          <cell r="B15" t="str">
            <v>Hal-hal yang harus diperhatikan/diperbaiki :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.APBDesa"/>
      <sheetName val="P.Penjabaran"/>
      <sheetName val="Penjabaran (2)"/>
      <sheetName val="SILP PAD"/>
      <sheetName val="SILV ADD"/>
      <sheetName val="lain2"/>
      <sheetName val="SILV DD"/>
      <sheetName val="SILV BHP BHR"/>
      <sheetName val="PAD1 "/>
      <sheetName val="BENGKOK"/>
      <sheetName val="DD"/>
      <sheetName val="Penjabaran"/>
      <sheetName val="PENDAPATAN dan PENGELUARAN"/>
      <sheetName val="ADD25"/>
      <sheetName val="Matriks RKP (2025)"/>
      <sheetName val="Lampiran Matriks RKP (2025"/>
      <sheetName val="Matriks RKP (2025 print only)"/>
      <sheetName val="ADD25 (pencairan ke1)"/>
      <sheetName val="BHP PPR"/>
      <sheetName val="Pembayaran BPJS Ketenaga k1 (2)"/>
      <sheetName val="Pembayaran BPJS Ketenaga k1 (3)"/>
      <sheetName val="Pembayaran BPJS Ketenaga k1 (4)"/>
      <sheetName val="Daftar Kegiatan Tanpa RAB"/>
      <sheetName val="APBDesa"/>
      <sheetName val="RAB THR "/>
      <sheetName val="PENGI PERANGKAT"/>
      <sheetName val="SILPA ALL 2023"/>
      <sheetName val="Summary PerubahanPerdes"/>
      <sheetName val="Summary Perubahan (Perkades)"/>
      <sheetName val="BK ASMAS"/>
      <sheetName val="Transparasi"/>
      <sheetName val="RAB DD"/>
      <sheetName val="DPA.3.3 OPERASIONAL KANTOR"/>
      <sheetName val="Sheet2"/>
      <sheetName val="Pembayaran BPJS Ketenaga k1 1"/>
      <sheetName val="Pembayaran BPJS Ketenaga k2"/>
      <sheetName val="Pembayaran BPJS Ketenaga k3"/>
      <sheetName val="Pembayaran BPJS Ketenaga k4"/>
      <sheetName val="Rekap BPJS Ketenaga Kerjaan"/>
      <sheetName val="Pembayaran BPJS Ketenaga k1 2"/>
      <sheetName val="Pembayaran BPJS Ketenaga k2-1"/>
      <sheetName val="Pembayaran BPJS Ketenaga k2-1a"/>
      <sheetName val="Pembayaran BPJS Ketenaga k2-1 c"/>
      <sheetName val="Pembayaran BPJS Ketenaga k3-1"/>
      <sheetName val="ADD pengambilan"/>
      <sheetName val="Rencana Pengambilan ADD"/>
      <sheetName val="HBAH PAD"/>
      <sheetName val="RAB sdgs"/>
      <sheetName val="Data Silpa 2021"/>
      <sheetName val="Transparansi APBDes"/>
      <sheetName val="Penjabaran (DD)"/>
      <sheetName val="Summary Perdes (2)"/>
      <sheetName val="Summary Perkades (3)"/>
      <sheetName val="RT DAN RW DARI BK"/>
      <sheetName val="PENGGUNAAN ADD"/>
      <sheetName val="BPJS KETENAGA KERJAAN KADES"/>
      <sheetName val="DPA.3.2 SILT dan Tunj PERANGKAT"/>
      <sheetName val="BPJS KETENAGAKERJ PERANGKAT "/>
      <sheetName val="Jam Hari Tua KADES"/>
      <sheetName val="Jaminan Hari Tua PERANGKAT"/>
      <sheetName val="Jam Pensiun KADES"/>
      <sheetName val="Jaminan Pensiun PERANGKAT"/>
      <sheetName val="DATA SILPA 2020"/>
      <sheetName val="Sheet3"/>
      <sheetName val="Sheet1"/>
      <sheetName val="Realisasi Pengambilan"/>
      <sheetName val="REALISASI ABBDes 2019"/>
      <sheetName val="RENCANA PEMBANGUNAN"/>
      <sheetName val="DPA SIAGA MENCANA"/>
      <sheetName val="DPA PEMELIHARAAN GEDUNG"/>
      <sheetName val="DPA.1.1"/>
      <sheetName val="DPA.1.2"/>
      <sheetName val="DPA.1.3"/>
      <sheetName val="DPA.1.4"/>
      <sheetName val="DPA.2"/>
      <sheetName val="TUNJANGAN BPD"/>
      <sheetName val="INSENTIF RT RW ADD"/>
      <sheetName val="DPA TIM RKP"/>
      <sheetName val="DPA.3.1 SILTAP DAN TUNJ. KADES"/>
      <sheetName val="RENC PENYERAPAN ANGGARAN 2020"/>
      <sheetName val="OPERASIONAL BPD"/>
      <sheetName val="TAMBAHAN TUNJANGAN KADES"/>
      <sheetName val="TAMBAHAN TUNJANGAN PERANGKAT"/>
      <sheetName val="TAMBAHAN TUNJ. BPD"/>
      <sheetName val="RT DAN RW DARI ADD"/>
      <sheetName val="STAF KANTOR (KARYAWAN DESA)"/>
      <sheetName val="MUSRENBANGDES"/>
      <sheetName val="PENGISIAN PERANGKAT"/>
      <sheetName val="Lamp 2 Penjab."/>
      <sheetName val="RAK Des"/>
      <sheetName val="PENGGUNAAN DANA"/>
      <sheetName val="RENCANA PENGGUNAN DANA PADes 20"/>
      <sheetName val="DPA.3.4"/>
      <sheetName val="PAD "/>
      <sheetName val="PROFIL DESA"/>
      <sheetName val="Realisasi Penerimaan"/>
      <sheetName val="DAFTAR KEGIATAN 20199"/>
      <sheetName val="Kumpulan Silpa"/>
      <sheetName val="REALISASI TH 2019"/>
    </sheetNames>
    <sheetDataSet>
      <sheetData sheetId="0" refreshError="1"/>
      <sheetData sheetId="1" refreshError="1"/>
      <sheetData sheetId="2" refreshError="1"/>
      <sheetData sheetId="3">
        <row r="8">
          <cell r="F8">
            <v>8600000</v>
          </cell>
        </row>
        <row r="82">
          <cell r="H82">
            <v>0</v>
          </cell>
        </row>
      </sheetData>
      <sheetData sheetId="4">
        <row r="8">
          <cell r="F8">
            <v>6881312.7999999998</v>
          </cell>
        </row>
        <row r="45">
          <cell r="H45">
            <v>-8.2000000001862645</v>
          </cell>
        </row>
      </sheetData>
      <sheetData sheetId="5">
        <row r="9">
          <cell r="F9">
            <v>1253012.8999999999</v>
          </cell>
        </row>
      </sheetData>
      <sheetData sheetId="6">
        <row r="8">
          <cell r="C8">
            <v>17191000</v>
          </cell>
        </row>
        <row r="34">
          <cell r="E34">
            <v>0</v>
          </cell>
        </row>
      </sheetData>
      <sheetData sheetId="7">
        <row r="8">
          <cell r="C8">
            <v>1267700</v>
          </cell>
        </row>
      </sheetData>
      <sheetData sheetId="8">
        <row r="30">
          <cell r="H30">
            <v>550849967</v>
          </cell>
        </row>
        <row r="31">
          <cell r="H31">
            <v>114000000</v>
          </cell>
        </row>
        <row r="113">
          <cell r="I113">
            <v>33</v>
          </cell>
        </row>
      </sheetData>
      <sheetData sheetId="9" refreshError="1"/>
      <sheetData sheetId="10">
        <row r="8">
          <cell r="J8">
            <v>651419000</v>
          </cell>
        </row>
        <row r="203">
          <cell r="K203">
            <v>130283800</v>
          </cell>
        </row>
        <row r="205">
          <cell r="L205">
            <v>0</v>
          </cell>
        </row>
      </sheetData>
      <sheetData sheetId="11"/>
      <sheetData sheetId="12"/>
      <sheetData sheetId="13">
        <row r="10">
          <cell r="G10">
            <v>593872275</v>
          </cell>
        </row>
        <row r="220">
          <cell r="H220">
            <v>725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>
        <row r="8">
          <cell r="F8">
            <v>72531000</v>
          </cell>
        </row>
        <row r="38">
          <cell r="H38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.APBDesa"/>
      <sheetName val="P.Penjabaran"/>
      <sheetName val="ADD--23 (2)"/>
      <sheetName val="PKT Gropyok Tikus (2)"/>
      <sheetName val="VOKASI PERTANIAN"/>
      <sheetName val="Suronan DD"/>
      <sheetName val="17 Agustus Kartar"/>
      <sheetName val="Pkt Tikus"/>
      <sheetName val="PENGI PERANGKAT"/>
      <sheetName val="Penjabaran (KOSONG)"/>
      <sheetName val="APBDesa"/>
      <sheetName val="Suronan ADD"/>
      <sheetName val="Pelatihan Petani"/>
      <sheetName val="BENGKOK"/>
      <sheetName val="RAB DD"/>
      <sheetName val="Summary Perdes (2)"/>
      <sheetName val="Summary Perkades (3)"/>
      <sheetName val="DPA.3.3 OPERASIONAL KANTOR"/>
      <sheetName val="PENDAPATAN dan PENGELUARAN"/>
      <sheetName val="Transparasi"/>
      <sheetName val="Penjabaran"/>
      <sheetName val="ADD--23"/>
      <sheetName val="Rencana Pengambilan ADD2024"/>
      <sheetName val="BK Sarpras"/>
      <sheetName val="DD"/>
      <sheetName val="PAD1 "/>
      <sheetName val="BHP PPR"/>
      <sheetName val="RT DAN RW DARI BK"/>
      <sheetName val="BK RTLH"/>
      <sheetName val="lain2"/>
      <sheetName val="SILV DD"/>
      <sheetName val="SILV ADD"/>
      <sheetName val="SILP PAD"/>
      <sheetName val="Pembayaran BPJS Ketenaga k1 1"/>
      <sheetName val="Sheet2"/>
      <sheetName val="Pembayaran BPJS Ketenaga k1 2"/>
      <sheetName val="Pembayaran BPJS Ketenaga k2"/>
      <sheetName val="Pembayaran BPJS Ketenaga k3"/>
      <sheetName val="Pembayaran BPJS Ketenaga k4"/>
      <sheetName val="Rekap BPJS Ketenaga Kerjaan"/>
      <sheetName val="Rencana Pengambilan ADD"/>
      <sheetName val="RAB sdgs"/>
      <sheetName val="Data Silpa 2021"/>
      <sheetName val="Transparansi APBDes"/>
      <sheetName val="Penjabaran (DD)"/>
      <sheetName val="Summary PerubahanPerdes"/>
      <sheetName val="Summary Perubahan (Perkades)"/>
      <sheetName val="PENGGUNAAN ADD"/>
      <sheetName val="BPJS KETENAGA KERJAAN KADES"/>
      <sheetName val="DPA.3.2 SILT dan Tunj PERANGKAT"/>
      <sheetName val="BPJS KETENAGAKERJ PERANGKAT "/>
      <sheetName val="Jam Hari Tua KADES"/>
      <sheetName val="Jaminan Hari Tua PERANGKAT"/>
      <sheetName val="Jam Pensiun KADES"/>
      <sheetName val="Jaminan Pensiun PERANGKAT"/>
      <sheetName val="DATA SILPA 2020"/>
      <sheetName val="Sheet3"/>
      <sheetName val="Sheet1"/>
      <sheetName val="Realisasi Pengambilan"/>
      <sheetName val="REALISASI ABBDes 2019"/>
      <sheetName val="RENCANA PEMBANGUNAN"/>
      <sheetName val="DPA SIAGA MENCANA"/>
      <sheetName val="DPA PEMELIHARAAN GEDUNG"/>
      <sheetName val="DPA.1.1"/>
      <sheetName val="DPA.1.2"/>
      <sheetName val="DPA.1.3"/>
      <sheetName val="DPA.1.4"/>
      <sheetName val="DPA.2"/>
      <sheetName val="TUNJANGAN BPD"/>
      <sheetName val="INSENTIF RT RW ADD"/>
      <sheetName val="DPA TIM RKP"/>
      <sheetName val="DPA.3.1 SILTAP DAN TUNJ. KADES"/>
      <sheetName val="RENC PENYERAPAN ANGGARAN 2020"/>
      <sheetName val="Penjabaran TES2)"/>
      <sheetName val="OPERASIONAL BPD"/>
      <sheetName val="Kamar mandi wc TK Paud"/>
      <sheetName val="Lampu 4 titik"/>
      <sheetName val="PKT Gropyok Tikus"/>
      <sheetName val="TAMBAHAN TUNJANGAN KADES"/>
      <sheetName val="TAMBAHAN TUNJANGAN PERANGKAT"/>
      <sheetName val="TAMBAHAN TUNJ. BPD"/>
      <sheetName val="RT DAN RW DARI ADD"/>
      <sheetName val="STAF KANTOR (KARYAWAN DESA)"/>
      <sheetName val="MUSRENBANGDES"/>
      <sheetName val="PENGISIAN PERANGKAT"/>
      <sheetName val="Lamp 2 Penjab."/>
      <sheetName val="RAK Des"/>
      <sheetName val="PENGGUNAAN DANA"/>
      <sheetName val="RENCANA PENGGUNAN DANA PADes 20"/>
      <sheetName val="DPA.3.4"/>
      <sheetName val="PAD "/>
      <sheetName val="PROFIL DESA"/>
      <sheetName val="Realisasi Penerimaan"/>
      <sheetName val="DAFTAR KEGIATAN 20199"/>
      <sheetName val="Kumpulan Silpa"/>
      <sheetName val="REALISASI TH 2019"/>
    </sheetNames>
    <sheetDataSet>
      <sheetData sheetId="0"/>
      <sheetData sheetId="1"/>
      <sheetData sheetId="2"/>
      <sheetData sheetId="3"/>
      <sheetData sheetId="4"/>
      <sheetData sheetId="5"/>
      <sheetData sheetId="6">
        <row r="23">
          <cell r="K23">
            <v>2000000</v>
          </cell>
        </row>
      </sheetData>
      <sheetData sheetId="7"/>
      <sheetData sheetId="8"/>
      <sheetData sheetId="9"/>
      <sheetData sheetId="10"/>
      <sheetData sheetId="11"/>
      <sheetData sheetId="12">
        <row r="17">
          <cell r="K17">
            <v>40000</v>
          </cell>
        </row>
      </sheetData>
      <sheetData sheetId="13">
        <row r="12">
          <cell r="D12">
            <v>114000000</v>
          </cell>
        </row>
      </sheetData>
      <sheetData sheetId="14"/>
      <sheetData sheetId="15"/>
      <sheetData sheetId="16"/>
      <sheetData sheetId="17"/>
      <sheetData sheetId="18">
        <row r="6">
          <cell r="J6">
            <v>33600000</v>
          </cell>
        </row>
      </sheetData>
      <sheetData sheetId="19"/>
      <sheetData sheetId="20"/>
      <sheetData sheetId="21">
        <row r="8">
          <cell r="F8">
            <v>603326000</v>
          </cell>
        </row>
      </sheetData>
      <sheetData sheetId="22"/>
      <sheetData sheetId="23">
        <row r="8">
          <cell r="F8">
            <v>100000000</v>
          </cell>
        </row>
      </sheetData>
      <sheetData sheetId="24">
        <row r="8">
          <cell r="J8">
            <v>626587000</v>
          </cell>
        </row>
      </sheetData>
      <sheetData sheetId="25">
        <row r="8">
          <cell r="G8">
            <v>539550000</v>
          </cell>
        </row>
        <row r="12">
          <cell r="G12">
            <v>28100000</v>
          </cell>
        </row>
      </sheetData>
      <sheetData sheetId="26">
        <row r="8">
          <cell r="F8">
            <v>32230980</v>
          </cell>
        </row>
        <row r="40">
          <cell r="H40">
            <v>0</v>
          </cell>
        </row>
      </sheetData>
      <sheetData sheetId="27">
        <row r="17">
          <cell r="K17">
            <v>33600000</v>
          </cell>
        </row>
      </sheetData>
      <sheetData sheetId="28">
        <row r="8">
          <cell r="F8">
            <v>17500000</v>
          </cell>
        </row>
      </sheetData>
      <sheetData sheetId="29"/>
      <sheetData sheetId="30">
        <row r="8">
          <cell r="C8">
            <v>67261700</v>
          </cell>
        </row>
      </sheetData>
      <sheetData sheetId="31">
        <row r="8">
          <cell r="F8">
            <v>7135010</v>
          </cell>
        </row>
        <row r="44">
          <cell r="H44">
            <v>10</v>
          </cell>
        </row>
      </sheetData>
      <sheetData sheetId="32">
        <row r="8">
          <cell r="F8">
            <v>60761493.620000005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6">
          <cell r="M16">
            <v>720000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7">
          <cell r="C7">
            <v>273056.87999999896</v>
          </cell>
        </row>
        <row r="10">
          <cell r="C10">
            <v>861347.09999999986</v>
          </cell>
        </row>
      </sheetData>
      <sheetData sheetId="9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D5C68-3039-45E9-BF5F-DE46C9DD0EA8}">
  <sheetPr>
    <tabColor rgb="FFFF0000"/>
  </sheetPr>
  <dimension ref="A1:AA256"/>
  <sheetViews>
    <sheetView zoomScale="85" zoomScaleNormal="85" zoomScaleSheetLayoutView="70" workbookViewId="0">
      <selection activeCell="H201" sqref="H201"/>
    </sheetView>
  </sheetViews>
  <sheetFormatPr defaultColWidth="9.109375" defaultRowHeight="13.8" x14ac:dyDescent="0.25"/>
  <cols>
    <col min="1" max="1" width="5.44140625" style="2" customWidth="1"/>
    <col min="2" max="2" width="5.5546875" style="2" customWidth="1"/>
    <col min="3" max="3" width="9" style="2" customWidth="1"/>
    <col min="4" max="6" width="5.5546875" style="2" customWidth="1"/>
    <col min="7" max="7" width="6.44140625" style="2" customWidth="1"/>
    <col min="8" max="8" width="83.109375" style="2" customWidth="1"/>
    <col min="9" max="9" width="13" style="9" hidden="1" customWidth="1"/>
    <col min="10" max="10" width="14.5546875" style="2" hidden="1" customWidth="1"/>
    <col min="11" max="11" width="27.44140625" style="7" customWidth="1"/>
    <col min="12" max="12" width="29" style="2" customWidth="1"/>
    <col min="13" max="13" width="16.44140625" style="3" customWidth="1"/>
    <col min="14" max="14" width="43.109375" style="3" customWidth="1"/>
    <col min="15" max="15" width="20.44140625" style="3" customWidth="1"/>
    <col min="16" max="16" width="26.109375" style="3" customWidth="1"/>
    <col min="17" max="17" width="24.21875" style="3" customWidth="1"/>
    <col min="18" max="18" width="23.44140625" style="4" customWidth="1"/>
    <col min="19" max="19" width="23.6640625" style="4" customWidth="1"/>
    <col min="20" max="21" width="24.5546875" style="2" customWidth="1"/>
    <col min="22" max="22" width="21.44140625" style="2" customWidth="1"/>
    <col min="23" max="23" width="24.44140625" style="2" customWidth="1"/>
    <col min="24" max="26" width="21.44140625" style="2" customWidth="1"/>
    <col min="27" max="27" width="25.109375" style="2" customWidth="1"/>
    <col min="28" max="16384" width="9.109375" style="2"/>
  </cols>
  <sheetData>
    <row r="1" spans="1:27" x14ac:dyDescent="0.25">
      <c r="I1" s="201"/>
      <c r="J1" s="201"/>
      <c r="K1" s="201"/>
    </row>
    <row r="2" spans="1:27" x14ac:dyDescent="0.25">
      <c r="I2" s="201"/>
      <c r="J2" s="201"/>
      <c r="K2" s="201"/>
      <c r="L2" s="201"/>
      <c r="M2" s="5"/>
      <c r="N2" s="5"/>
      <c r="O2" s="5"/>
    </row>
    <row r="3" spans="1:27" x14ac:dyDescent="0.25">
      <c r="I3" s="201"/>
      <c r="J3" s="201"/>
      <c r="K3" s="201"/>
      <c r="O3" s="3">
        <v>3800000</v>
      </c>
    </row>
    <row r="4" spans="1:27" x14ac:dyDescent="0.25">
      <c r="I4" s="6"/>
      <c r="O4" s="3">
        <f>O3-1412000</f>
        <v>2388000</v>
      </c>
    </row>
    <row r="5" spans="1:27" x14ac:dyDescent="0.25">
      <c r="I5" s="201"/>
      <c r="J5" s="201"/>
      <c r="K5" s="201"/>
      <c r="L5" s="201"/>
      <c r="M5" s="5"/>
      <c r="N5" s="5"/>
      <c r="O5" s="8">
        <f>O4/25000</f>
        <v>95.52</v>
      </c>
    </row>
    <row r="6" spans="1:27" x14ac:dyDescent="0.25">
      <c r="I6" s="201"/>
      <c r="J6" s="201"/>
      <c r="K6" s="201"/>
      <c r="L6" s="201"/>
      <c r="M6" s="5"/>
      <c r="N6" s="5"/>
      <c r="O6" s="5">
        <f>90*25000</f>
        <v>2250000</v>
      </c>
    </row>
    <row r="7" spans="1:27" x14ac:dyDescent="0.25">
      <c r="O7" s="3">
        <f>O4-O6</f>
        <v>138000</v>
      </c>
    </row>
    <row r="8" spans="1:27" x14ac:dyDescent="0.25">
      <c r="A8" s="196" t="s">
        <v>693</v>
      </c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0"/>
      <c r="N8" s="10"/>
      <c r="O8" s="10"/>
    </row>
    <row r="9" spans="1:27" x14ac:dyDescent="0.25">
      <c r="A9" s="196" t="s">
        <v>694</v>
      </c>
      <c r="B9" s="196"/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0"/>
      <c r="N9" s="10"/>
      <c r="O9" s="10"/>
    </row>
    <row r="10" spans="1:27" x14ac:dyDescent="0.25">
      <c r="A10" s="196" t="s">
        <v>695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0"/>
      <c r="N10" s="10"/>
      <c r="O10" s="10"/>
      <c r="V10" s="11">
        <f>V13*0.03</f>
        <v>19542570</v>
      </c>
    </row>
    <row r="11" spans="1:27" s="12" customFormat="1" ht="15" customHeight="1" x14ac:dyDescent="0.3">
      <c r="G11" s="13"/>
      <c r="I11" s="14"/>
      <c r="K11" s="15"/>
      <c r="M11" s="16"/>
      <c r="N11" s="16"/>
      <c r="O11" s="16"/>
      <c r="P11" s="16"/>
      <c r="Q11" s="16"/>
    </row>
    <row r="12" spans="1:27" s="12" customFormat="1" ht="15.6" x14ac:dyDescent="0.3">
      <c r="A12" s="197" t="s">
        <v>696</v>
      </c>
      <c r="B12" s="197"/>
      <c r="C12" s="197"/>
      <c r="D12" s="197"/>
      <c r="E12" s="197"/>
      <c r="F12" s="197"/>
      <c r="G12" s="197"/>
      <c r="H12" s="197" t="s">
        <v>697</v>
      </c>
      <c r="I12" s="197" t="s">
        <v>698</v>
      </c>
      <c r="J12" s="197"/>
      <c r="K12" s="198" t="s">
        <v>699</v>
      </c>
      <c r="L12" s="200" t="s">
        <v>700</v>
      </c>
      <c r="M12" s="17"/>
      <c r="N12" s="17"/>
      <c r="O12" s="17"/>
      <c r="P12" s="16"/>
      <c r="Q12" s="16"/>
      <c r="U12" s="12" t="s">
        <v>701</v>
      </c>
      <c r="V12" s="18">
        <f>20%*V13</f>
        <v>130283800</v>
      </c>
    </row>
    <row r="13" spans="1:27" s="12" customFormat="1" ht="15" customHeight="1" x14ac:dyDescent="0.3">
      <c r="A13" s="197"/>
      <c r="B13" s="197"/>
      <c r="C13" s="197"/>
      <c r="D13" s="197"/>
      <c r="E13" s="197"/>
      <c r="F13" s="197"/>
      <c r="G13" s="197"/>
      <c r="H13" s="197"/>
      <c r="I13" s="19" t="s">
        <v>702</v>
      </c>
      <c r="J13" s="19" t="s">
        <v>703</v>
      </c>
      <c r="K13" s="199"/>
      <c r="L13" s="200"/>
      <c r="M13" s="20"/>
      <c r="N13" s="17"/>
      <c r="O13" s="17"/>
      <c r="P13" s="16"/>
      <c r="Q13" s="16"/>
      <c r="U13" s="12" t="s">
        <v>704</v>
      </c>
      <c r="V13" s="18">
        <f>[2]DD!J8</f>
        <v>651419000</v>
      </c>
    </row>
    <row r="14" spans="1:27" s="27" customFormat="1" ht="17.399999999999999" x14ac:dyDescent="0.3">
      <c r="A14" s="21">
        <v>1</v>
      </c>
      <c r="B14" s="21"/>
      <c r="C14" s="21"/>
      <c r="D14" s="21"/>
      <c r="E14" s="21"/>
      <c r="F14" s="21"/>
      <c r="G14" s="23"/>
      <c r="H14" s="22" t="s">
        <v>716</v>
      </c>
      <c r="I14" s="21"/>
      <c r="J14" s="22"/>
      <c r="K14" s="24" t="e">
        <f>K15+K29+K33+K39+K53</f>
        <v>#REF!</v>
      </c>
      <c r="L14" s="22"/>
      <c r="M14" s="20"/>
      <c r="N14" s="30"/>
      <c r="O14" s="25"/>
      <c r="P14" s="49">
        <f>[2]ADD25!G10</f>
        <v>593872275</v>
      </c>
      <c r="Q14" s="26">
        <f>[2]DD!J8</f>
        <v>651419000</v>
      </c>
      <c r="R14" s="26">
        <f>'[2]PAD1 '!H30</f>
        <v>550849967</v>
      </c>
      <c r="S14" s="26">
        <f>'[3]PAD1 '!G12</f>
        <v>28100000</v>
      </c>
      <c r="T14" s="26">
        <f>'[3]PENDAPATAN dan PENGELUARAN'!J6</f>
        <v>33600000</v>
      </c>
      <c r="U14" s="26"/>
      <c r="V14" s="26">
        <f>'[2]BHP PPR'!F8</f>
        <v>72531000</v>
      </c>
      <c r="W14" s="26">
        <f>[3]DD!J8</f>
        <v>626587000</v>
      </c>
      <c r="X14" s="26">
        <f>'[3]SILP PAD'!F8</f>
        <v>60761493.620000005</v>
      </c>
      <c r="Y14" s="26">
        <v>5000000</v>
      </c>
      <c r="Z14" s="26">
        <f>'[3]Kumpulan Silpa'!C10</f>
        <v>861347.09999999986</v>
      </c>
      <c r="AA14" s="50">
        <f>SUM(P14:Z14)-Q14-X14-Y14</f>
        <v>1906401589.0999999</v>
      </c>
    </row>
    <row r="15" spans="1:27" s="35" customFormat="1" ht="47.25" customHeight="1" x14ac:dyDescent="0.3">
      <c r="A15" s="31">
        <v>1</v>
      </c>
      <c r="B15" s="51">
        <v>1</v>
      </c>
      <c r="C15" s="31"/>
      <c r="D15" s="31"/>
      <c r="E15" s="31"/>
      <c r="F15" s="31"/>
      <c r="G15" s="32"/>
      <c r="H15" s="29" t="s">
        <v>692</v>
      </c>
      <c r="I15" s="31"/>
      <c r="J15" s="29"/>
      <c r="K15" s="33" t="e">
        <f>K16+K17+K18+K19+#REF!+K20+K21+K22+K23+K24+K25+K26+K27+K28+#REF!</f>
        <v>#REF!</v>
      </c>
      <c r="L15" s="29" t="s">
        <v>717</v>
      </c>
      <c r="M15" s="20"/>
      <c r="N15" s="30"/>
      <c r="O15" s="52"/>
      <c r="P15" s="53" t="e">
        <f>SUM(P16:P61)</f>
        <v>#REF!</v>
      </c>
      <c r="Q15" s="53" t="e">
        <f>SUM(Q16:Q229)</f>
        <v>#REF!</v>
      </c>
      <c r="R15" s="53" t="e">
        <f>SUM(R16:R61)</f>
        <v>#REF!</v>
      </c>
      <c r="S15" s="54">
        <f>SUM(S16:S229)</f>
        <v>0</v>
      </c>
      <c r="T15" s="54">
        <f>SUM(T16:T229)</f>
        <v>0</v>
      </c>
      <c r="U15" s="54"/>
      <c r="V15" s="54" t="e">
        <f>SUM(V16:V229)</f>
        <v>#REF!</v>
      </c>
      <c r="W15" s="54">
        <f>SUM(W16:W229)</f>
        <v>0</v>
      </c>
      <c r="X15" s="54">
        <f>SUM(X16:X229)</f>
        <v>0</v>
      </c>
      <c r="Y15" s="54" t="e">
        <f>SUM(Y16:Y229)</f>
        <v>#REF!</v>
      </c>
      <c r="Z15" s="54">
        <f>SUM(Z16:Z229)</f>
        <v>0</v>
      </c>
      <c r="AA15" s="50" t="e">
        <f>SUM(P15:Z15)</f>
        <v>#REF!</v>
      </c>
    </row>
    <row r="16" spans="1:27" s="63" customFormat="1" ht="15.6" x14ac:dyDescent="0.3">
      <c r="A16" s="55">
        <v>1</v>
      </c>
      <c r="B16" s="56">
        <v>1</v>
      </c>
      <c r="C16" s="56" t="s">
        <v>705</v>
      </c>
      <c r="D16" s="55"/>
      <c r="E16" s="55"/>
      <c r="F16" s="55"/>
      <c r="G16" s="57"/>
      <c r="H16" s="44" t="s">
        <v>718</v>
      </c>
      <c r="I16" s="55">
        <v>1</v>
      </c>
      <c r="J16" s="44" t="s">
        <v>719</v>
      </c>
      <c r="K16" s="43" t="e">
        <f>#REF!</f>
        <v>#REF!</v>
      </c>
      <c r="L16" s="44" t="s">
        <v>8</v>
      </c>
      <c r="M16" s="58"/>
      <c r="N16" s="59"/>
      <c r="O16" s="60"/>
      <c r="P16" s="61"/>
      <c r="Q16" s="61"/>
      <c r="R16" s="62"/>
      <c r="S16" s="62"/>
      <c r="T16" s="62"/>
      <c r="U16" s="62"/>
      <c r="V16" s="62"/>
    </row>
    <row r="17" spans="1:27" s="63" customFormat="1" ht="18" x14ac:dyDescent="0.35">
      <c r="A17" s="55">
        <v>1</v>
      </c>
      <c r="B17" s="56">
        <v>1</v>
      </c>
      <c r="C17" s="56" t="s">
        <v>706</v>
      </c>
      <c r="D17" s="55"/>
      <c r="E17" s="55"/>
      <c r="F17" s="55"/>
      <c r="G17" s="57"/>
      <c r="H17" s="44" t="s">
        <v>722</v>
      </c>
      <c r="I17" s="55"/>
      <c r="J17" s="44" t="s">
        <v>719</v>
      </c>
      <c r="K17" s="43" t="e">
        <f>#REF!</f>
        <v>#REF!</v>
      </c>
      <c r="L17" s="44" t="s">
        <v>8</v>
      </c>
      <c r="M17" s="58"/>
      <c r="N17" s="59"/>
      <c r="O17" s="60"/>
      <c r="P17" s="61"/>
      <c r="Q17" s="64"/>
      <c r="R17" s="62"/>
      <c r="S17" s="62"/>
      <c r="T17" s="62"/>
      <c r="U17" s="62"/>
      <c r="V17" s="62"/>
    </row>
    <row r="18" spans="1:27" s="46" customFormat="1" ht="18" x14ac:dyDescent="0.35">
      <c r="A18" s="42">
        <v>1</v>
      </c>
      <c r="B18" s="65">
        <v>1</v>
      </c>
      <c r="C18" s="65" t="s">
        <v>707</v>
      </c>
      <c r="D18" s="42"/>
      <c r="E18" s="42"/>
      <c r="F18" s="42"/>
      <c r="G18" s="66"/>
      <c r="H18" s="40" t="s">
        <v>724</v>
      </c>
      <c r="I18" s="42"/>
      <c r="J18" s="40" t="s">
        <v>719</v>
      </c>
      <c r="K18" s="47" t="e">
        <f>#REF!</f>
        <v>#REF!</v>
      </c>
      <c r="L18" s="44" t="s">
        <v>8</v>
      </c>
      <c r="M18" s="20"/>
      <c r="N18" s="30"/>
      <c r="O18" s="67"/>
      <c r="P18" s="68" t="e">
        <f>K18</f>
        <v>#REF!</v>
      </c>
      <c r="Q18" s="69"/>
      <c r="R18" s="68"/>
      <c r="S18" s="68"/>
      <c r="T18" s="70"/>
      <c r="U18" s="70"/>
      <c r="V18" s="70"/>
    </row>
    <row r="19" spans="1:27" s="46" customFormat="1" ht="31.2" x14ac:dyDescent="0.3">
      <c r="A19" s="42">
        <v>1</v>
      </c>
      <c r="B19" s="65">
        <v>1</v>
      </c>
      <c r="C19" s="65" t="s">
        <v>708</v>
      </c>
      <c r="D19" s="42"/>
      <c r="E19" s="42"/>
      <c r="F19" s="42"/>
      <c r="G19" s="66"/>
      <c r="H19" s="40" t="s">
        <v>728</v>
      </c>
      <c r="I19" s="42"/>
      <c r="J19" s="40" t="s">
        <v>188</v>
      </c>
      <c r="K19" s="47" t="e">
        <f>#REF!</f>
        <v>#REF!</v>
      </c>
      <c r="L19" s="40" t="s">
        <v>729</v>
      </c>
      <c r="M19" s="20"/>
      <c r="N19" s="30"/>
      <c r="O19" s="67"/>
      <c r="P19" s="75"/>
      <c r="Q19" s="75"/>
      <c r="R19" s="75"/>
      <c r="S19" s="75"/>
      <c r="T19" s="70"/>
      <c r="U19" s="70"/>
      <c r="V19" s="70"/>
      <c r="AA19" s="77"/>
    </row>
    <row r="20" spans="1:27" s="46" customFormat="1" ht="33.9" customHeight="1" x14ac:dyDescent="0.3">
      <c r="A20" s="42">
        <v>1</v>
      </c>
      <c r="B20" s="65">
        <v>1</v>
      </c>
      <c r="C20" s="65" t="s">
        <v>710</v>
      </c>
      <c r="D20" s="36">
        <v>5</v>
      </c>
      <c r="E20" s="42"/>
      <c r="F20" s="42"/>
      <c r="G20" s="66"/>
      <c r="H20" s="40" t="s">
        <v>736</v>
      </c>
      <c r="I20" s="42"/>
      <c r="J20" s="40" t="s">
        <v>188</v>
      </c>
      <c r="K20" s="47" t="e">
        <f>#REF!</f>
        <v>#REF!</v>
      </c>
      <c r="L20" s="44" t="s">
        <v>8</v>
      </c>
      <c r="M20" s="20"/>
      <c r="N20" s="30"/>
      <c r="O20" s="67"/>
      <c r="P20" s="68" t="e">
        <f>K20</f>
        <v>#REF!</v>
      </c>
      <c r="Q20" s="68"/>
      <c r="R20" s="70"/>
      <c r="S20" s="70"/>
      <c r="T20" s="70"/>
      <c r="U20" s="70"/>
      <c r="V20" s="70"/>
    </row>
    <row r="21" spans="1:27" s="46" customFormat="1" ht="15.6" x14ac:dyDescent="0.3">
      <c r="A21" s="42">
        <v>1</v>
      </c>
      <c r="B21" s="65">
        <v>1</v>
      </c>
      <c r="C21" s="65" t="s">
        <v>711</v>
      </c>
      <c r="D21" s="42"/>
      <c r="E21" s="42"/>
      <c r="F21" s="42"/>
      <c r="G21" s="66"/>
      <c r="H21" s="40" t="s">
        <v>738</v>
      </c>
      <c r="I21" s="42"/>
      <c r="J21" s="40" t="s">
        <v>188</v>
      </c>
      <c r="K21" s="47" t="e">
        <f>#REF!</f>
        <v>#REF!</v>
      </c>
      <c r="L21" s="44" t="s">
        <v>8</v>
      </c>
      <c r="M21" s="20"/>
      <c r="N21" s="30"/>
      <c r="O21" s="67"/>
      <c r="P21" s="68" t="e">
        <f>K21</f>
        <v>#REF!</v>
      </c>
      <c r="Q21" s="68"/>
      <c r="R21" s="70"/>
      <c r="S21" s="70"/>
      <c r="T21" s="70"/>
      <c r="U21" s="70"/>
      <c r="V21" s="70"/>
    </row>
    <row r="22" spans="1:27" s="86" customFormat="1" ht="15.6" x14ac:dyDescent="0.3">
      <c r="A22" s="36">
        <v>1</v>
      </c>
      <c r="B22" s="36">
        <v>1</v>
      </c>
      <c r="C22" s="36">
        <v>90</v>
      </c>
      <c r="D22" s="42"/>
      <c r="E22" s="42"/>
      <c r="F22" s="42"/>
      <c r="G22" s="42"/>
      <c r="H22" s="40" t="s">
        <v>739</v>
      </c>
      <c r="I22" s="42"/>
      <c r="J22" s="40" t="s">
        <v>719</v>
      </c>
      <c r="K22" s="84">
        <f>'[2]PAD1 '!H31</f>
        <v>114000000</v>
      </c>
      <c r="L22" s="44" t="s">
        <v>740</v>
      </c>
      <c r="M22" s="20"/>
      <c r="N22" s="30"/>
      <c r="O22" s="67"/>
      <c r="P22" s="67"/>
      <c r="Q22" s="67"/>
      <c r="R22" s="85">
        <f>K22</f>
        <v>114000000</v>
      </c>
      <c r="S22" s="85"/>
      <c r="T22" s="40"/>
      <c r="U22" s="40"/>
      <c r="V22" s="40"/>
    </row>
    <row r="23" spans="1:27" s="86" customFormat="1" ht="15.6" x14ac:dyDescent="0.3">
      <c r="A23" s="36">
        <v>1</v>
      </c>
      <c r="B23" s="36">
        <v>1</v>
      </c>
      <c r="C23" s="36">
        <v>91</v>
      </c>
      <c r="D23" s="42"/>
      <c r="E23" s="42"/>
      <c r="F23" s="42"/>
      <c r="G23" s="42"/>
      <c r="H23" s="40" t="s">
        <v>742</v>
      </c>
      <c r="I23" s="42"/>
      <c r="J23" s="40" t="s">
        <v>719</v>
      </c>
      <c r="K23" s="84" t="e">
        <f>#REF!</f>
        <v>#REF!</v>
      </c>
      <c r="L23" s="44" t="s">
        <v>743</v>
      </c>
      <c r="M23" s="20"/>
      <c r="N23" s="30"/>
      <c r="O23" s="67"/>
      <c r="P23" s="67"/>
      <c r="Q23" s="67"/>
      <c r="R23" s="85"/>
      <c r="S23" s="85"/>
      <c r="T23" s="40"/>
      <c r="U23" s="40"/>
      <c r="V23" s="40"/>
    </row>
    <row r="24" spans="1:27" s="86" customFormat="1" ht="31.2" x14ac:dyDescent="0.3">
      <c r="A24" s="36">
        <v>1</v>
      </c>
      <c r="B24" s="36">
        <v>1</v>
      </c>
      <c r="C24" s="36">
        <v>92</v>
      </c>
      <c r="D24" s="42"/>
      <c r="E24" s="42"/>
      <c r="F24" s="42"/>
      <c r="G24" s="42"/>
      <c r="H24" s="40" t="s">
        <v>745</v>
      </c>
      <c r="I24" s="42"/>
      <c r="J24" s="40" t="s">
        <v>719</v>
      </c>
      <c r="K24" s="84" t="e">
        <f>#REF!</f>
        <v>#REF!</v>
      </c>
      <c r="L24" s="44" t="s">
        <v>77</v>
      </c>
      <c r="M24" s="20"/>
      <c r="N24" s="30"/>
      <c r="O24" s="67"/>
      <c r="P24" s="67"/>
      <c r="Q24" s="67"/>
      <c r="R24" s="85" t="e">
        <f>K24</f>
        <v>#REF!</v>
      </c>
      <c r="S24" s="85"/>
      <c r="T24" s="40"/>
      <c r="U24" s="40"/>
      <c r="V24" s="40"/>
    </row>
    <row r="25" spans="1:27" s="86" customFormat="1" ht="15.6" x14ac:dyDescent="0.3">
      <c r="A25" s="36">
        <v>1</v>
      </c>
      <c r="B25" s="36">
        <v>1</v>
      </c>
      <c r="C25" s="36">
        <v>93</v>
      </c>
      <c r="D25" s="42"/>
      <c r="E25" s="42"/>
      <c r="F25" s="42"/>
      <c r="G25" s="42"/>
      <c r="H25" s="40" t="s">
        <v>746</v>
      </c>
      <c r="I25" s="42"/>
      <c r="J25" s="40" t="s">
        <v>719</v>
      </c>
      <c r="K25" s="84" t="e">
        <f>#REF!</f>
        <v>#REF!</v>
      </c>
      <c r="L25" s="44"/>
      <c r="M25" s="20"/>
      <c r="N25" s="30"/>
      <c r="O25" s="67"/>
      <c r="P25" s="67"/>
      <c r="Q25" s="67"/>
      <c r="R25" s="40"/>
      <c r="S25" s="40"/>
      <c r="T25" s="85"/>
      <c r="U25" s="85"/>
      <c r="V25" s="85"/>
      <c r="W25" s="87"/>
      <c r="X25" s="87"/>
      <c r="Y25" s="87"/>
      <c r="Z25" s="87"/>
    </row>
    <row r="26" spans="1:27" s="86" customFormat="1" ht="15.6" x14ac:dyDescent="0.3">
      <c r="A26" s="36">
        <v>1</v>
      </c>
      <c r="B26" s="36">
        <v>1</v>
      </c>
      <c r="C26" s="36">
        <v>94</v>
      </c>
      <c r="D26" s="42"/>
      <c r="E26" s="42"/>
      <c r="F26" s="42"/>
      <c r="G26" s="42"/>
      <c r="H26" s="40" t="s">
        <v>747</v>
      </c>
      <c r="I26" s="42"/>
      <c r="J26" s="40" t="s">
        <v>719</v>
      </c>
      <c r="K26" s="84" t="e">
        <f>#REF!</f>
        <v>#REF!</v>
      </c>
      <c r="L26" s="44" t="s">
        <v>77</v>
      </c>
      <c r="M26" s="20"/>
      <c r="N26" s="30"/>
      <c r="O26" s="67"/>
      <c r="P26" s="67"/>
      <c r="Q26" s="67"/>
      <c r="R26" s="85"/>
      <c r="S26" s="85"/>
      <c r="T26" s="40"/>
      <c r="U26" s="40"/>
      <c r="V26" s="40"/>
    </row>
    <row r="27" spans="1:27" s="46" customFormat="1" ht="15.6" x14ac:dyDescent="0.3">
      <c r="A27" s="36">
        <v>1</v>
      </c>
      <c r="B27" s="76">
        <v>1</v>
      </c>
      <c r="C27" s="76">
        <v>95</v>
      </c>
      <c r="D27" s="42"/>
      <c r="E27" s="42"/>
      <c r="F27" s="65"/>
      <c r="G27" s="88"/>
      <c r="H27" s="40" t="s">
        <v>748</v>
      </c>
      <c r="I27" s="42"/>
      <c r="J27" s="40" t="s">
        <v>719</v>
      </c>
      <c r="K27" s="47" t="e">
        <f>#REF!</f>
        <v>#REF!</v>
      </c>
      <c r="L27" s="40" t="s">
        <v>749</v>
      </c>
      <c r="M27" s="20"/>
      <c r="N27" s="30"/>
      <c r="O27" s="67"/>
      <c r="P27" s="68"/>
      <c r="Q27" s="68"/>
      <c r="R27" s="70"/>
      <c r="S27" s="70"/>
      <c r="T27" s="70"/>
      <c r="U27" s="70"/>
      <c r="V27" s="70"/>
    </row>
    <row r="28" spans="1:27" s="46" customFormat="1" ht="15.6" x14ac:dyDescent="0.3">
      <c r="A28" s="36">
        <v>1</v>
      </c>
      <c r="B28" s="76">
        <v>1</v>
      </c>
      <c r="C28" s="76">
        <v>96</v>
      </c>
      <c r="D28" s="42"/>
      <c r="E28" s="42"/>
      <c r="F28" s="65"/>
      <c r="G28" s="88"/>
      <c r="H28" s="40" t="s">
        <v>750</v>
      </c>
      <c r="I28" s="42"/>
      <c r="J28" s="40" t="s">
        <v>188</v>
      </c>
      <c r="K28" s="47" t="e">
        <f>#REF!</f>
        <v>#REF!</v>
      </c>
      <c r="L28" s="44" t="s">
        <v>77</v>
      </c>
      <c r="M28" s="20"/>
      <c r="N28" s="30"/>
      <c r="O28" s="67"/>
      <c r="P28" s="68"/>
      <c r="Q28" s="68"/>
      <c r="R28" s="70"/>
      <c r="S28" s="70"/>
      <c r="T28" s="70"/>
      <c r="U28" s="70"/>
      <c r="V28" s="70"/>
    </row>
    <row r="29" spans="1:27" s="35" customFormat="1" ht="15.6" x14ac:dyDescent="0.3">
      <c r="A29" s="31">
        <v>1</v>
      </c>
      <c r="B29" s="51">
        <v>2</v>
      </c>
      <c r="C29" s="51"/>
      <c r="D29" s="31"/>
      <c r="E29" s="31"/>
      <c r="F29" s="51"/>
      <c r="G29" s="89"/>
      <c r="H29" s="29" t="s">
        <v>751</v>
      </c>
      <c r="I29" s="31"/>
      <c r="J29" s="29"/>
      <c r="K29" s="33" t="e">
        <f>K30+K31+K32</f>
        <v>#REF!</v>
      </c>
      <c r="L29" s="29" t="s">
        <v>752</v>
      </c>
      <c r="M29" s="20"/>
      <c r="N29" s="30"/>
      <c r="O29" s="67"/>
      <c r="P29" s="53"/>
      <c r="Q29" s="53"/>
      <c r="R29" s="90"/>
      <c r="S29" s="90"/>
      <c r="T29" s="90"/>
      <c r="U29" s="90"/>
      <c r="V29" s="90"/>
    </row>
    <row r="30" spans="1:27" s="46" customFormat="1" ht="15.6" x14ac:dyDescent="0.3">
      <c r="A30" s="42">
        <v>1</v>
      </c>
      <c r="B30" s="65">
        <v>2</v>
      </c>
      <c r="C30" s="65" t="s">
        <v>705</v>
      </c>
      <c r="D30" s="42"/>
      <c r="E30" s="42"/>
      <c r="F30" s="65"/>
      <c r="G30" s="88"/>
      <c r="H30" s="40" t="s">
        <v>753</v>
      </c>
      <c r="I30" s="42"/>
      <c r="J30" s="40" t="s">
        <v>754</v>
      </c>
      <c r="K30" s="47" t="e">
        <f>#REF!+#REF!</f>
        <v>#REF!</v>
      </c>
      <c r="L30" s="37" t="s">
        <v>755</v>
      </c>
      <c r="M30" s="20"/>
      <c r="N30" s="30"/>
      <c r="O30" s="67"/>
      <c r="P30" s="68"/>
      <c r="Q30" s="68"/>
      <c r="R30" s="70"/>
      <c r="S30" s="70"/>
      <c r="T30" s="70"/>
      <c r="U30" s="70"/>
      <c r="V30" s="70"/>
    </row>
    <row r="31" spans="1:27" s="46" customFormat="1" ht="15.6" x14ac:dyDescent="0.3">
      <c r="A31" s="42">
        <v>1</v>
      </c>
      <c r="B31" s="65">
        <v>2</v>
      </c>
      <c r="C31" s="65" t="s">
        <v>706</v>
      </c>
      <c r="D31" s="42"/>
      <c r="E31" s="42"/>
      <c r="F31" s="65"/>
      <c r="G31" s="88"/>
      <c r="H31" s="40" t="s">
        <v>757</v>
      </c>
      <c r="I31" s="42"/>
      <c r="J31" s="40" t="s">
        <v>758</v>
      </c>
      <c r="K31" s="47" t="e">
        <f>#REF!</f>
        <v>#REF!</v>
      </c>
      <c r="L31" s="44" t="e">
        <f>#REF!</f>
        <v>#REF!</v>
      </c>
      <c r="M31" s="20"/>
      <c r="N31" s="30"/>
      <c r="O31" s="67"/>
      <c r="P31" s="68"/>
      <c r="Q31" s="68"/>
      <c r="R31" s="91"/>
      <c r="S31" s="70"/>
      <c r="T31" s="70"/>
      <c r="U31" s="70"/>
      <c r="V31" s="70"/>
    </row>
    <row r="32" spans="1:27" s="46" customFormat="1" ht="15.6" x14ac:dyDescent="0.3">
      <c r="A32" s="42">
        <v>1</v>
      </c>
      <c r="B32" s="65">
        <v>2</v>
      </c>
      <c r="C32" s="65" t="s">
        <v>707</v>
      </c>
      <c r="D32" s="42"/>
      <c r="E32" s="42"/>
      <c r="F32" s="42"/>
      <c r="G32" s="66"/>
      <c r="H32" s="40" t="s">
        <v>760</v>
      </c>
      <c r="I32" s="42"/>
      <c r="J32" s="40" t="s">
        <v>188</v>
      </c>
      <c r="K32" s="47" t="e">
        <f>#REF!</f>
        <v>#REF!</v>
      </c>
      <c r="L32" s="48" t="s">
        <v>761</v>
      </c>
      <c r="M32" s="20"/>
      <c r="N32" s="30"/>
      <c r="O32" s="67"/>
      <c r="P32" s="68"/>
      <c r="Q32" s="68"/>
      <c r="R32" s="70"/>
      <c r="S32" s="70"/>
      <c r="T32" s="70"/>
      <c r="U32" s="70"/>
      <c r="V32" s="70"/>
    </row>
    <row r="33" spans="1:22" s="35" customFormat="1" ht="31.2" x14ac:dyDescent="0.3">
      <c r="A33" s="31">
        <v>1</v>
      </c>
      <c r="B33" s="51">
        <v>3</v>
      </c>
      <c r="C33" s="51"/>
      <c r="D33" s="31"/>
      <c r="E33" s="31"/>
      <c r="F33" s="51"/>
      <c r="G33" s="89"/>
      <c r="H33" s="29" t="s">
        <v>762</v>
      </c>
      <c r="I33" s="31"/>
      <c r="J33" s="29"/>
      <c r="K33" s="33" t="e">
        <f>K34+K35+K36+K37+K38</f>
        <v>#REF!</v>
      </c>
      <c r="L33" s="92" t="s">
        <v>759</v>
      </c>
      <c r="M33" s="20"/>
      <c r="N33" s="30"/>
      <c r="O33" s="67"/>
      <c r="P33" s="53"/>
      <c r="Q33" s="53"/>
      <c r="R33" s="90"/>
      <c r="S33" s="90"/>
      <c r="T33" s="90"/>
      <c r="U33" s="90"/>
      <c r="V33" s="90"/>
    </row>
    <row r="34" spans="1:22" s="46" customFormat="1" ht="31.2" x14ac:dyDescent="0.3">
      <c r="A34" s="42">
        <v>1</v>
      </c>
      <c r="B34" s="65">
        <v>3</v>
      </c>
      <c r="C34" s="65" t="s">
        <v>705</v>
      </c>
      <c r="D34" s="42"/>
      <c r="E34" s="42"/>
      <c r="F34" s="65"/>
      <c r="G34" s="88"/>
      <c r="H34" s="40" t="s">
        <v>763</v>
      </c>
      <c r="I34" s="42"/>
      <c r="J34" s="40" t="s">
        <v>188</v>
      </c>
      <c r="K34" s="47" t="e">
        <f>#REF!+#REF!</f>
        <v>#REF!</v>
      </c>
      <c r="L34" s="40"/>
      <c r="M34" s="20"/>
      <c r="N34" s="30"/>
      <c r="O34" s="67"/>
      <c r="P34" s="68"/>
      <c r="Q34" s="68"/>
      <c r="R34" s="70"/>
      <c r="S34" s="70"/>
      <c r="T34" s="70"/>
      <c r="U34" s="70"/>
      <c r="V34" s="70"/>
    </row>
    <row r="35" spans="1:22" s="46" customFormat="1" ht="31.2" x14ac:dyDescent="0.3">
      <c r="A35" s="42">
        <v>1</v>
      </c>
      <c r="B35" s="65">
        <v>3</v>
      </c>
      <c r="C35" s="65" t="s">
        <v>706</v>
      </c>
      <c r="D35" s="42"/>
      <c r="E35" s="42"/>
      <c r="F35" s="65"/>
      <c r="G35" s="88"/>
      <c r="H35" s="40" t="s">
        <v>764</v>
      </c>
      <c r="I35" s="42"/>
      <c r="J35" s="40" t="s">
        <v>188</v>
      </c>
      <c r="K35" s="47" t="e">
        <f>#REF!</f>
        <v>#REF!</v>
      </c>
      <c r="L35" s="92" t="s">
        <v>765</v>
      </c>
      <c r="M35" s="20"/>
      <c r="N35" s="30"/>
      <c r="O35" s="67"/>
      <c r="P35" s="68"/>
      <c r="Q35" s="68"/>
      <c r="R35" s="70"/>
      <c r="S35" s="70"/>
      <c r="T35" s="70"/>
      <c r="U35" s="70"/>
      <c r="V35" s="70"/>
    </row>
    <row r="36" spans="1:22" s="46" customFormat="1" ht="15.6" x14ac:dyDescent="0.3">
      <c r="A36" s="94">
        <v>1</v>
      </c>
      <c r="B36" s="95">
        <v>3</v>
      </c>
      <c r="C36" s="95" t="s">
        <v>707</v>
      </c>
      <c r="D36" s="42"/>
      <c r="E36" s="42"/>
      <c r="F36" s="65"/>
      <c r="G36" s="88"/>
      <c r="H36" s="96" t="s">
        <v>766</v>
      </c>
      <c r="I36" s="42"/>
      <c r="J36" s="40" t="s">
        <v>188</v>
      </c>
      <c r="K36" s="47" t="e">
        <f>#REF!</f>
        <v>#REF!</v>
      </c>
      <c r="L36" s="40"/>
      <c r="M36" s="20"/>
      <c r="N36" s="30"/>
      <c r="O36" s="67"/>
      <c r="P36" s="68"/>
      <c r="Q36" s="68"/>
      <c r="R36" s="70"/>
      <c r="S36" s="70"/>
      <c r="T36" s="70"/>
      <c r="U36" s="70"/>
      <c r="V36" s="70"/>
    </row>
    <row r="37" spans="1:22" s="46" customFormat="1" ht="31.2" x14ac:dyDescent="0.3">
      <c r="A37" s="42">
        <v>1</v>
      </c>
      <c r="B37" s="65">
        <v>3</v>
      </c>
      <c r="C37" s="65" t="s">
        <v>708</v>
      </c>
      <c r="D37" s="42"/>
      <c r="E37" s="42"/>
      <c r="F37" s="42"/>
      <c r="G37" s="66"/>
      <c r="H37" s="97" t="s">
        <v>767</v>
      </c>
      <c r="I37" s="42"/>
      <c r="J37" s="40" t="s">
        <v>97</v>
      </c>
      <c r="K37" s="47" t="e">
        <f>#REF!</f>
        <v>#REF!</v>
      </c>
      <c r="L37" s="40"/>
      <c r="M37" s="20"/>
      <c r="N37" s="30"/>
      <c r="O37" s="67"/>
      <c r="P37" s="68"/>
      <c r="Q37" s="68"/>
      <c r="R37" s="70"/>
      <c r="S37" s="70"/>
      <c r="T37" s="70"/>
      <c r="U37" s="70"/>
      <c r="V37" s="70"/>
    </row>
    <row r="38" spans="1:22" s="46" customFormat="1" ht="15.6" x14ac:dyDescent="0.3">
      <c r="A38" s="42">
        <v>1</v>
      </c>
      <c r="B38" s="65">
        <v>3</v>
      </c>
      <c r="C38" s="65" t="s">
        <v>709</v>
      </c>
      <c r="D38" s="42"/>
      <c r="E38" s="42"/>
      <c r="F38" s="42"/>
      <c r="G38" s="66"/>
      <c r="H38" s="96" t="s">
        <v>768</v>
      </c>
      <c r="I38" s="42"/>
      <c r="J38" s="40" t="s">
        <v>188</v>
      </c>
      <c r="K38" s="47" t="e">
        <f>#REF!</f>
        <v>#REF!</v>
      </c>
      <c r="L38" s="40"/>
      <c r="M38" s="20"/>
      <c r="N38" s="30"/>
      <c r="O38" s="67"/>
      <c r="P38" s="68"/>
      <c r="Q38" s="68"/>
      <c r="R38" s="70"/>
      <c r="S38" s="70"/>
      <c r="T38" s="70"/>
      <c r="U38" s="70"/>
      <c r="V38" s="70"/>
    </row>
    <row r="39" spans="1:22" s="27" customFormat="1" ht="15.6" x14ac:dyDescent="0.3">
      <c r="A39" s="98">
        <v>1</v>
      </c>
      <c r="B39" s="99">
        <v>4</v>
      </c>
      <c r="C39" s="100"/>
      <c r="D39" s="98"/>
      <c r="E39" s="98"/>
      <c r="F39" s="98"/>
      <c r="G39" s="101"/>
      <c r="H39" s="102" t="s">
        <v>769</v>
      </c>
      <c r="I39" s="98"/>
      <c r="J39" s="103"/>
      <c r="K39" s="104" t="e">
        <f>K40+K41+K42+K43+K44+K45+K46+K47+K48+K49+K50+K51+K52</f>
        <v>#REF!</v>
      </c>
      <c r="L39" s="103" t="s">
        <v>770</v>
      </c>
      <c r="M39" s="20"/>
      <c r="N39" s="30"/>
      <c r="O39" s="67"/>
      <c r="P39" s="105"/>
      <c r="Q39" s="105"/>
      <c r="R39" s="106"/>
      <c r="S39" s="106"/>
      <c r="T39" s="106"/>
      <c r="U39" s="106"/>
      <c r="V39" s="106"/>
    </row>
    <row r="40" spans="1:22" s="46" customFormat="1" ht="35.25" customHeight="1" x14ac:dyDescent="0.3">
      <c r="A40" s="107">
        <v>1</v>
      </c>
      <c r="B40" s="95">
        <v>4</v>
      </c>
      <c r="C40" s="107" t="s">
        <v>705</v>
      </c>
      <c r="D40" s="42"/>
      <c r="E40" s="42"/>
      <c r="F40" s="42"/>
      <c r="G40" s="66"/>
      <c r="H40" s="108" t="s">
        <v>771</v>
      </c>
      <c r="I40" s="109"/>
      <c r="J40" s="40" t="s">
        <v>97</v>
      </c>
      <c r="K40" s="47" t="e">
        <f>#REF!</f>
        <v>#REF!</v>
      </c>
      <c r="L40" s="44" t="s">
        <v>8</v>
      </c>
      <c r="M40" s="20"/>
      <c r="N40" s="30"/>
      <c r="O40" s="67"/>
      <c r="P40" s="68"/>
      <c r="Q40" s="68"/>
      <c r="R40" s="70"/>
      <c r="S40" s="70"/>
      <c r="T40" s="70"/>
      <c r="U40" s="70"/>
      <c r="V40" s="70"/>
    </row>
    <row r="41" spans="1:22" s="46" customFormat="1" ht="31.2" x14ac:dyDescent="0.3">
      <c r="A41" s="107">
        <v>1</v>
      </c>
      <c r="B41" s="95">
        <v>4</v>
      </c>
      <c r="C41" s="111" t="s">
        <v>706</v>
      </c>
      <c r="D41" s="42"/>
      <c r="E41" s="42"/>
      <c r="F41" s="42"/>
      <c r="G41" s="66"/>
      <c r="H41" s="108" t="s">
        <v>772</v>
      </c>
      <c r="I41" s="112"/>
      <c r="J41" s="40" t="s">
        <v>97</v>
      </c>
      <c r="K41" s="47" t="e">
        <f>#REF!</f>
        <v>#REF!</v>
      </c>
      <c r="L41" s="37" t="s">
        <v>773</v>
      </c>
      <c r="M41" s="20"/>
      <c r="N41" s="30"/>
      <c r="O41" s="67"/>
      <c r="P41" s="68"/>
      <c r="Q41" s="68"/>
      <c r="R41" s="70"/>
      <c r="S41" s="70"/>
      <c r="T41" s="70"/>
      <c r="U41" s="70"/>
      <c r="V41" s="70"/>
    </row>
    <row r="42" spans="1:22" s="46" customFormat="1" ht="15.6" x14ac:dyDescent="0.3">
      <c r="A42" s="107">
        <v>1</v>
      </c>
      <c r="B42" s="95">
        <v>4</v>
      </c>
      <c r="C42" s="107" t="s">
        <v>707</v>
      </c>
      <c r="D42" s="36">
        <v>5</v>
      </c>
      <c r="E42" s="42"/>
      <c r="F42" s="42"/>
      <c r="G42" s="66"/>
      <c r="H42" s="113" t="s">
        <v>775</v>
      </c>
      <c r="I42" s="112"/>
      <c r="J42" s="40" t="s">
        <v>188</v>
      </c>
      <c r="K42" s="47" t="e">
        <f>#REF!</f>
        <v>#REF!</v>
      </c>
      <c r="L42" s="48" t="s">
        <v>8</v>
      </c>
      <c r="M42" s="20"/>
      <c r="N42" s="30"/>
      <c r="O42" s="67"/>
      <c r="P42" s="68" t="e">
        <f>K42</f>
        <v>#REF!</v>
      </c>
      <c r="Q42" s="68"/>
      <c r="R42" s="91"/>
      <c r="S42" s="91"/>
      <c r="T42" s="70"/>
      <c r="U42" s="70"/>
      <c r="V42" s="70"/>
    </row>
    <row r="43" spans="1:22" s="46" customFormat="1" ht="31.2" x14ac:dyDescent="0.3">
      <c r="A43" s="107">
        <v>1</v>
      </c>
      <c r="B43" s="95">
        <v>4</v>
      </c>
      <c r="C43" s="111" t="s">
        <v>708</v>
      </c>
      <c r="D43" s="42"/>
      <c r="E43" s="42"/>
      <c r="F43" s="42"/>
      <c r="G43" s="66"/>
      <c r="H43" s="108" t="s">
        <v>776</v>
      </c>
      <c r="I43" s="112"/>
      <c r="J43" s="40" t="s">
        <v>188</v>
      </c>
      <c r="K43" s="47" t="e">
        <f>#REF!</f>
        <v>#REF!</v>
      </c>
      <c r="L43" s="44" t="s">
        <v>759</v>
      </c>
      <c r="M43" s="20"/>
      <c r="N43" s="30"/>
      <c r="O43" s="67"/>
      <c r="P43" s="68"/>
      <c r="Q43" s="68"/>
      <c r="R43" s="78" t="e">
        <f>K43</f>
        <v>#REF!</v>
      </c>
      <c r="S43" s="78"/>
      <c r="T43" s="70"/>
      <c r="U43" s="70"/>
      <c r="V43" s="70"/>
    </row>
    <row r="44" spans="1:22" s="46" customFormat="1" ht="15.6" x14ac:dyDescent="0.3">
      <c r="A44" s="107">
        <v>1</v>
      </c>
      <c r="B44" s="95">
        <v>4</v>
      </c>
      <c r="C44" s="107" t="s">
        <v>709</v>
      </c>
      <c r="D44" s="42"/>
      <c r="E44" s="42"/>
      <c r="F44" s="42"/>
      <c r="G44" s="66"/>
      <c r="H44" s="96" t="s">
        <v>777</v>
      </c>
      <c r="I44" s="42"/>
      <c r="J44" s="40" t="s">
        <v>188</v>
      </c>
      <c r="K44" s="47" t="e">
        <f>#REF!</f>
        <v>#REF!</v>
      </c>
      <c r="L44" s="40"/>
      <c r="M44" s="20"/>
      <c r="N44" s="30"/>
      <c r="O44" s="67"/>
      <c r="P44" s="68"/>
      <c r="Q44" s="68"/>
      <c r="R44" s="70"/>
      <c r="S44" s="70"/>
      <c r="T44" s="70"/>
      <c r="U44" s="70"/>
      <c r="V44" s="70"/>
    </row>
    <row r="45" spans="1:22" s="46" customFormat="1" ht="31.2" x14ac:dyDescent="0.3">
      <c r="A45" s="114">
        <v>1</v>
      </c>
      <c r="B45" s="95">
        <v>4</v>
      </c>
      <c r="C45" s="115" t="s">
        <v>710</v>
      </c>
      <c r="D45" s="42"/>
      <c r="E45" s="42"/>
      <c r="F45" s="42"/>
      <c r="G45" s="66"/>
      <c r="H45" s="108" t="s">
        <v>778</v>
      </c>
      <c r="I45" s="112"/>
      <c r="J45" s="40" t="s">
        <v>188</v>
      </c>
      <c r="K45" s="47" t="e">
        <f>#REF!</f>
        <v>#REF!</v>
      </c>
      <c r="L45" s="40"/>
      <c r="M45" s="20"/>
      <c r="N45" s="30"/>
      <c r="O45" s="67"/>
      <c r="P45" s="68"/>
      <c r="Q45" s="68"/>
      <c r="R45" s="70"/>
      <c r="S45" s="70"/>
      <c r="T45" s="70"/>
      <c r="U45" s="70"/>
      <c r="V45" s="70"/>
    </row>
    <row r="46" spans="1:22" s="46" customFormat="1" ht="49.5" customHeight="1" x14ac:dyDescent="0.3">
      <c r="A46" s="114">
        <v>1</v>
      </c>
      <c r="B46" s="95">
        <v>4</v>
      </c>
      <c r="C46" s="114" t="s">
        <v>711</v>
      </c>
      <c r="D46" s="42"/>
      <c r="E46" s="42"/>
      <c r="F46" s="42"/>
      <c r="G46" s="66"/>
      <c r="H46" s="108" t="s">
        <v>779</v>
      </c>
      <c r="I46" s="112"/>
      <c r="J46" s="40" t="s">
        <v>188</v>
      </c>
      <c r="K46" s="47" t="e">
        <f>#REF!</f>
        <v>#REF!</v>
      </c>
      <c r="L46" s="40"/>
      <c r="M46" s="20"/>
      <c r="N46" s="30"/>
      <c r="O46" s="67"/>
      <c r="P46" s="68"/>
      <c r="Q46" s="68"/>
      <c r="R46" s="70"/>
      <c r="S46" s="70"/>
      <c r="T46" s="70"/>
      <c r="U46" s="70"/>
      <c r="V46" s="70"/>
    </row>
    <row r="47" spans="1:22" s="46" customFormat="1" ht="15.6" x14ac:dyDescent="0.3">
      <c r="A47" s="107">
        <v>1</v>
      </c>
      <c r="B47" s="95">
        <v>4</v>
      </c>
      <c r="C47" s="111" t="s">
        <v>712</v>
      </c>
      <c r="D47" s="36"/>
      <c r="E47" s="42"/>
      <c r="F47" s="42"/>
      <c r="G47" s="66"/>
      <c r="H47" s="96" t="s">
        <v>780</v>
      </c>
      <c r="I47" s="42"/>
      <c r="J47" s="40" t="s">
        <v>188</v>
      </c>
      <c r="K47" s="47" t="e">
        <f>#REF!+#REF!</f>
        <v>#REF!</v>
      </c>
      <c r="L47" s="40"/>
      <c r="M47" s="20"/>
      <c r="N47" s="30"/>
      <c r="O47" s="67"/>
      <c r="P47" s="68"/>
      <c r="Q47" s="68"/>
      <c r="R47" s="70"/>
      <c r="S47" s="70"/>
      <c r="T47" s="70"/>
      <c r="U47" s="70"/>
      <c r="V47" s="70"/>
    </row>
    <row r="48" spans="1:22" s="46" customFormat="1" ht="33" customHeight="1" x14ac:dyDescent="0.3">
      <c r="A48" s="114">
        <v>1</v>
      </c>
      <c r="B48" s="95">
        <v>4</v>
      </c>
      <c r="C48" s="114" t="s">
        <v>731</v>
      </c>
      <c r="D48" s="42"/>
      <c r="E48" s="42"/>
      <c r="F48" s="42"/>
      <c r="G48" s="66"/>
      <c r="H48" s="108" t="s">
        <v>781</v>
      </c>
      <c r="I48" s="112"/>
      <c r="J48" s="40" t="s">
        <v>188</v>
      </c>
      <c r="K48" s="47" t="e">
        <f>#REF!</f>
        <v>#REF!</v>
      </c>
      <c r="L48" s="40"/>
      <c r="M48" s="20"/>
      <c r="N48" s="30"/>
      <c r="O48" s="67"/>
      <c r="P48" s="68"/>
      <c r="Q48" s="68"/>
      <c r="R48" s="70"/>
      <c r="S48" s="70"/>
      <c r="T48" s="70"/>
      <c r="U48" s="70"/>
      <c r="V48" s="70"/>
    </row>
    <row r="49" spans="1:26" s="46" customFormat="1" ht="31.2" x14ac:dyDescent="0.3">
      <c r="A49" s="114">
        <v>1</v>
      </c>
      <c r="B49" s="95">
        <v>4</v>
      </c>
      <c r="C49" s="115" t="s">
        <v>732</v>
      </c>
      <c r="D49" s="36"/>
      <c r="E49" s="42"/>
      <c r="F49" s="42"/>
      <c r="G49" s="66"/>
      <c r="H49" s="108" t="s">
        <v>782</v>
      </c>
      <c r="I49" s="112">
        <v>2</v>
      </c>
      <c r="J49" s="40" t="s">
        <v>188</v>
      </c>
      <c r="K49" s="47" t="e">
        <f>#REF!</f>
        <v>#REF!</v>
      </c>
      <c r="L49" s="40"/>
      <c r="M49" s="20"/>
      <c r="N49" s="30"/>
      <c r="O49" s="67"/>
      <c r="P49" s="68"/>
      <c r="Q49" s="68"/>
      <c r="R49" s="70"/>
      <c r="S49" s="70"/>
      <c r="T49" s="70"/>
      <c r="U49" s="70"/>
      <c r="V49" s="70"/>
    </row>
    <row r="50" spans="1:26" s="46" customFormat="1" ht="22.5" customHeight="1" x14ac:dyDescent="0.3">
      <c r="A50" s="114">
        <v>1</v>
      </c>
      <c r="B50" s="95">
        <v>4</v>
      </c>
      <c r="C50" s="114" t="s">
        <v>733</v>
      </c>
      <c r="D50" s="36"/>
      <c r="E50" s="42"/>
      <c r="F50" s="42"/>
      <c r="G50" s="66"/>
      <c r="H50" s="108" t="s">
        <v>783</v>
      </c>
      <c r="I50" s="112"/>
      <c r="J50" s="40" t="s">
        <v>784</v>
      </c>
      <c r="K50" s="47" t="e">
        <f>#REF!</f>
        <v>#REF!</v>
      </c>
      <c r="L50" s="40"/>
      <c r="M50" s="20"/>
      <c r="N50" s="30"/>
      <c r="O50" s="67"/>
      <c r="P50" s="68"/>
      <c r="Q50" s="68"/>
      <c r="R50" s="70"/>
      <c r="S50" s="70"/>
      <c r="T50" s="70"/>
      <c r="U50" s="70"/>
      <c r="V50" s="70"/>
    </row>
    <row r="51" spans="1:26" s="27" customFormat="1" ht="15.6" x14ac:dyDescent="0.3">
      <c r="A51" s="116">
        <v>1</v>
      </c>
      <c r="B51" s="117">
        <v>4</v>
      </c>
      <c r="C51" s="116">
        <v>90</v>
      </c>
      <c r="D51" s="21"/>
      <c r="E51" s="21"/>
      <c r="F51" s="21"/>
      <c r="G51" s="118"/>
      <c r="H51" s="119" t="s">
        <v>785</v>
      </c>
      <c r="I51" s="120"/>
      <c r="J51" s="119" t="s">
        <v>188</v>
      </c>
      <c r="K51" s="121" t="e">
        <f>#REF!</f>
        <v>#REF!</v>
      </c>
      <c r="L51" s="48" t="s">
        <v>77</v>
      </c>
      <c r="M51" s="20"/>
      <c r="N51" s="30"/>
      <c r="O51" s="52"/>
      <c r="P51" s="122"/>
      <c r="Q51" s="122"/>
      <c r="R51" s="123"/>
      <c r="S51" s="123"/>
      <c r="T51" s="106"/>
      <c r="U51" s="106"/>
      <c r="V51" s="106"/>
    </row>
    <row r="52" spans="1:26" s="46" customFormat="1" ht="15.6" x14ac:dyDescent="0.3">
      <c r="A52" s="107">
        <v>1</v>
      </c>
      <c r="B52" s="95">
        <v>4</v>
      </c>
      <c r="C52" s="107">
        <v>91</v>
      </c>
      <c r="D52" s="42"/>
      <c r="E52" s="42"/>
      <c r="F52" s="42"/>
      <c r="G52" s="88"/>
      <c r="H52" s="40" t="s">
        <v>786</v>
      </c>
      <c r="I52" s="124"/>
      <c r="J52" s="40" t="s">
        <v>188</v>
      </c>
      <c r="K52" s="47" t="e">
        <f>#REF!</f>
        <v>#REF!</v>
      </c>
      <c r="L52" s="44" t="s">
        <v>8</v>
      </c>
      <c r="M52" s="20"/>
      <c r="N52" s="30"/>
      <c r="O52" s="67"/>
      <c r="P52" s="68" t="e">
        <f>K52</f>
        <v>#REF!</v>
      </c>
      <c r="Q52" s="68"/>
      <c r="R52" s="70"/>
      <c r="S52" s="70"/>
      <c r="T52" s="70"/>
      <c r="U52" s="70"/>
      <c r="V52" s="70"/>
    </row>
    <row r="53" spans="1:26" s="27" customFormat="1" ht="15.6" x14ac:dyDescent="0.3">
      <c r="A53" s="125">
        <v>1</v>
      </c>
      <c r="B53" s="126">
        <v>5</v>
      </c>
      <c r="C53" s="127"/>
      <c r="D53" s="36"/>
      <c r="E53" s="21"/>
      <c r="F53" s="21"/>
      <c r="G53" s="23"/>
      <c r="H53" s="128" t="s">
        <v>787</v>
      </c>
      <c r="I53" s="129"/>
      <c r="J53" s="22"/>
      <c r="K53" s="24" t="e">
        <f>K54+K55+K56+K57+K58+K59+K60</f>
        <v>#REF!</v>
      </c>
      <c r="L53" s="130" t="s">
        <v>8</v>
      </c>
      <c r="M53" s="20"/>
      <c r="N53" s="30"/>
      <c r="O53" s="67"/>
      <c r="P53" s="122"/>
      <c r="Q53" s="122"/>
      <c r="R53" s="106"/>
      <c r="S53" s="106"/>
      <c r="T53" s="106"/>
      <c r="U53" s="106"/>
      <c r="V53" s="123"/>
      <c r="W53" s="28"/>
      <c r="X53" s="28"/>
      <c r="Y53" s="28"/>
      <c r="Z53" s="28"/>
    </row>
    <row r="54" spans="1:26" s="46" customFormat="1" ht="15.6" x14ac:dyDescent="0.3">
      <c r="A54" s="114">
        <v>1</v>
      </c>
      <c r="B54" s="95">
        <v>5</v>
      </c>
      <c r="C54" s="115" t="s">
        <v>705</v>
      </c>
      <c r="D54" s="36">
        <v>5</v>
      </c>
      <c r="E54" s="42"/>
      <c r="F54" s="42"/>
      <c r="G54" s="66"/>
      <c r="H54" s="113" t="s">
        <v>788</v>
      </c>
      <c r="I54" s="124"/>
      <c r="J54" s="40" t="s">
        <v>188</v>
      </c>
      <c r="K54" s="47" t="e">
        <f>#REF!</f>
        <v>#REF!</v>
      </c>
      <c r="L54" s="37" t="s">
        <v>8</v>
      </c>
      <c r="M54" s="20"/>
      <c r="N54" s="30"/>
      <c r="O54" s="67"/>
      <c r="P54" s="68" t="e">
        <f>K54</f>
        <v>#REF!</v>
      </c>
      <c r="Q54" s="68"/>
      <c r="R54" s="70"/>
      <c r="S54" s="70"/>
      <c r="T54" s="70"/>
      <c r="U54" s="70"/>
      <c r="V54" s="70"/>
    </row>
    <row r="55" spans="1:26" s="46" customFormat="1" ht="31.5" customHeight="1" x14ac:dyDescent="0.3">
      <c r="A55" s="114">
        <v>1</v>
      </c>
      <c r="B55" s="95">
        <v>5</v>
      </c>
      <c r="C55" s="115" t="s">
        <v>706</v>
      </c>
      <c r="D55" s="36"/>
      <c r="E55" s="42"/>
      <c r="F55" s="42"/>
      <c r="G55" s="66"/>
      <c r="H55" s="108" t="s">
        <v>789</v>
      </c>
      <c r="I55" s="112"/>
      <c r="J55" s="40" t="s">
        <v>188</v>
      </c>
      <c r="K55" s="47" t="e">
        <f>#REF!</f>
        <v>#REF!</v>
      </c>
      <c r="L55" s="37"/>
      <c r="M55" s="20"/>
      <c r="N55" s="30"/>
      <c r="O55" s="41"/>
      <c r="P55" s="45"/>
      <c r="Q55" s="45"/>
    </row>
    <row r="56" spans="1:26" s="46" customFormat="1" ht="15.75" customHeight="1" x14ac:dyDescent="0.3">
      <c r="A56" s="114">
        <v>1</v>
      </c>
      <c r="B56" s="95">
        <v>5</v>
      </c>
      <c r="C56" s="115" t="s">
        <v>707</v>
      </c>
      <c r="D56" s="36"/>
      <c r="E56" s="42"/>
      <c r="F56" s="42"/>
      <c r="G56" s="66"/>
      <c r="H56" s="113" t="s">
        <v>790</v>
      </c>
      <c r="I56" s="124"/>
      <c r="J56" s="40" t="s">
        <v>188</v>
      </c>
      <c r="K56" s="47" t="e">
        <f>#REF!</f>
        <v>#REF!</v>
      </c>
      <c r="L56" s="37"/>
      <c r="M56" s="20"/>
      <c r="N56" s="30"/>
      <c r="O56" s="41"/>
      <c r="P56" s="45"/>
      <c r="Q56" s="45"/>
    </row>
    <row r="57" spans="1:26" s="46" customFormat="1" ht="15.75" customHeight="1" x14ac:dyDescent="0.3">
      <c r="A57" s="114">
        <v>1</v>
      </c>
      <c r="B57" s="95">
        <v>5</v>
      </c>
      <c r="C57" s="115" t="s">
        <v>708</v>
      </c>
      <c r="D57" s="36"/>
      <c r="E57" s="42"/>
      <c r="F57" s="42"/>
      <c r="G57" s="66"/>
      <c r="H57" s="113" t="s">
        <v>791</v>
      </c>
      <c r="I57" s="124"/>
      <c r="J57" s="40" t="s">
        <v>97</v>
      </c>
      <c r="K57" s="47" t="e">
        <f>#REF!</f>
        <v>#REF!</v>
      </c>
      <c r="L57" s="37"/>
      <c r="M57" s="20"/>
      <c r="N57" s="30"/>
      <c r="O57" s="41"/>
      <c r="P57" s="45"/>
      <c r="Q57" s="45"/>
    </row>
    <row r="58" spans="1:26" s="46" customFormat="1" ht="15.75" customHeight="1" x14ac:dyDescent="0.3">
      <c r="A58" s="114">
        <v>1</v>
      </c>
      <c r="B58" s="95">
        <v>5</v>
      </c>
      <c r="C58" s="115" t="s">
        <v>709</v>
      </c>
      <c r="D58" s="36"/>
      <c r="E58" s="42"/>
      <c r="F58" s="42"/>
      <c r="G58" s="66"/>
      <c r="H58" s="113" t="s">
        <v>792</v>
      </c>
      <c r="I58" s="124"/>
      <c r="J58" s="40" t="s">
        <v>97</v>
      </c>
      <c r="K58" s="47" t="e">
        <f>#REF!</f>
        <v>#REF!</v>
      </c>
      <c r="L58" s="37"/>
      <c r="M58" s="20"/>
      <c r="N58" s="30"/>
      <c r="O58" s="41"/>
      <c r="P58" s="45"/>
      <c r="Q58" s="45"/>
    </row>
    <row r="59" spans="1:26" s="46" customFormat="1" ht="15.6" x14ac:dyDescent="0.3">
      <c r="A59" s="114">
        <v>1</v>
      </c>
      <c r="B59" s="95">
        <v>5</v>
      </c>
      <c r="C59" s="115" t="s">
        <v>710</v>
      </c>
      <c r="D59" s="36"/>
      <c r="E59" s="42"/>
      <c r="F59" s="42"/>
      <c r="G59" s="66"/>
      <c r="H59" s="113" t="s">
        <v>793</v>
      </c>
      <c r="I59" s="124"/>
      <c r="J59" s="40" t="s">
        <v>188</v>
      </c>
      <c r="K59" s="47" t="e">
        <f>#REF!</f>
        <v>#REF!</v>
      </c>
      <c r="L59" s="37" t="s">
        <v>794</v>
      </c>
      <c r="M59" s="20"/>
      <c r="N59" s="30"/>
      <c r="O59" s="41"/>
      <c r="P59" s="45"/>
      <c r="Q59" s="45"/>
    </row>
    <row r="60" spans="1:26" s="46" customFormat="1" ht="15.75" customHeight="1" x14ac:dyDescent="0.3">
      <c r="A60" s="114">
        <v>1</v>
      </c>
      <c r="B60" s="95">
        <v>5</v>
      </c>
      <c r="C60" s="115" t="s">
        <v>711</v>
      </c>
      <c r="D60" s="36"/>
      <c r="E60" s="42"/>
      <c r="F60" s="42"/>
      <c r="G60" s="66"/>
      <c r="H60" s="113" t="s">
        <v>795</v>
      </c>
      <c r="I60" s="124"/>
      <c r="J60" s="40" t="s">
        <v>754</v>
      </c>
      <c r="K60" s="47" t="e">
        <f>#REF!+#REF!</f>
        <v>#REF!</v>
      </c>
      <c r="L60" s="22"/>
      <c r="M60" s="20"/>
      <c r="N60" s="30"/>
      <c r="O60" s="41"/>
      <c r="P60" s="45"/>
      <c r="Q60" s="45"/>
    </row>
    <row r="61" spans="1:26" s="27" customFormat="1" ht="46.8" x14ac:dyDescent="0.3">
      <c r="A61" s="21">
        <v>2</v>
      </c>
      <c r="B61" s="131"/>
      <c r="C61" s="131"/>
      <c r="D61" s="36"/>
      <c r="E61" s="21"/>
      <c r="F61" s="21"/>
      <c r="G61" s="23"/>
      <c r="H61" s="22" t="s">
        <v>796</v>
      </c>
      <c r="I61" s="129"/>
      <c r="J61" s="22"/>
      <c r="K61" s="24" t="e">
        <f>K62+K73+K83+K104+K122+K126+K130+K133</f>
        <v>#REF!</v>
      </c>
      <c r="L61" s="130" t="s">
        <v>797</v>
      </c>
      <c r="M61" s="20"/>
      <c r="N61" s="30"/>
      <c r="O61" s="41"/>
      <c r="P61" s="26"/>
      <c r="Q61" s="26"/>
    </row>
    <row r="62" spans="1:26" s="27" customFormat="1" ht="15.6" x14ac:dyDescent="0.3">
      <c r="A62" s="21">
        <v>2</v>
      </c>
      <c r="B62" s="131">
        <v>1</v>
      </c>
      <c r="C62" s="131"/>
      <c r="D62" s="36"/>
      <c r="E62" s="21"/>
      <c r="F62" s="21"/>
      <c r="G62" s="23"/>
      <c r="H62" s="22" t="s">
        <v>798</v>
      </c>
      <c r="I62" s="129"/>
      <c r="J62" s="22"/>
      <c r="K62" s="24" t="e">
        <f>K63+K64+K65+K66+K67+K68+K69+K70+K71+K72</f>
        <v>#REF!</v>
      </c>
      <c r="L62" s="130" t="s">
        <v>799</v>
      </c>
      <c r="M62" s="20"/>
      <c r="N62" s="30"/>
      <c r="O62" s="41"/>
      <c r="P62" s="26"/>
      <c r="Q62" s="26"/>
    </row>
    <row r="63" spans="1:26" s="46" customFormat="1" ht="31.2" x14ac:dyDescent="0.3">
      <c r="A63" s="94">
        <v>2</v>
      </c>
      <c r="B63" s="95">
        <v>1</v>
      </c>
      <c r="C63" s="95" t="s">
        <v>705</v>
      </c>
      <c r="D63" s="36"/>
      <c r="E63" s="42"/>
      <c r="F63" s="42"/>
      <c r="G63" s="66"/>
      <c r="H63" s="108" t="s">
        <v>800</v>
      </c>
      <c r="I63" s="112"/>
      <c r="J63" s="40" t="s">
        <v>188</v>
      </c>
      <c r="K63" s="47" t="e">
        <f>#REF!+#REF!</f>
        <v>#REF!</v>
      </c>
      <c r="L63" s="44" t="s">
        <v>801</v>
      </c>
      <c r="M63" s="20"/>
      <c r="N63" s="30"/>
      <c r="O63" s="41"/>
      <c r="P63" s="45"/>
      <c r="Q63" s="45"/>
    </row>
    <row r="64" spans="1:26" s="46" customFormat="1" ht="15.6" x14ac:dyDescent="0.3">
      <c r="A64" s="42">
        <v>2</v>
      </c>
      <c r="B64" s="95">
        <v>1</v>
      </c>
      <c r="C64" s="95" t="s">
        <v>706</v>
      </c>
      <c r="D64" s="36"/>
      <c r="E64" s="42"/>
      <c r="F64" s="42"/>
      <c r="G64" s="66"/>
      <c r="H64" s="113" t="s">
        <v>802</v>
      </c>
      <c r="I64" s="124"/>
      <c r="J64" s="40" t="s">
        <v>754</v>
      </c>
      <c r="K64" s="47" t="e">
        <f>#REF!</f>
        <v>#REF!</v>
      </c>
      <c r="L64" s="37" t="s">
        <v>713</v>
      </c>
      <c r="M64" s="20"/>
      <c r="N64" s="30"/>
      <c r="O64" s="41"/>
      <c r="P64" s="45"/>
      <c r="Q64" s="45"/>
    </row>
    <row r="65" spans="1:17" s="46" customFormat="1" ht="15.6" x14ac:dyDescent="0.3">
      <c r="A65" s="94">
        <v>2</v>
      </c>
      <c r="B65" s="95">
        <v>1</v>
      </c>
      <c r="C65" s="95" t="s">
        <v>707</v>
      </c>
      <c r="D65" s="36"/>
      <c r="E65" s="42"/>
      <c r="F65" s="42"/>
      <c r="G65" s="66"/>
      <c r="H65" s="108" t="s">
        <v>803</v>
      </c>
      <c r="I65" s="112"/>
      <c r="J65" s="40" t="s">
        <v>97</v>
      </c>
      <c r="K65" s="47" t="e">
        <f>#REF!</f>
        <v>#REF!</v>
      </c>
      <c r="L65" s="40"/>
      <c r="M65" s="20"/>
      <c r="N65" s="30"/>
      <c r="O65" s="41"/>
      <c r="P65" s="45"/>
      <c r="Q65" s="45"/>
    </row>
    <row r="66" spans="1:17" s="46" customFormat="1" ht="31.2" x14ac:dyDescent="0.3">
      <c r="A66" s="94">
        <v>2</v>
      </c>
      <c r="B66" s="95">
        <v>1</v>
      </c>
      <c r="C66" s="95" t="s">
        <v>708</v>
      </c>
      <c r="D66" s="36"/>
      <c r="E66" s="42"/>
      <c r="F66" s="42"/>
      <c r="G66" s="66"/>
      <c r="H66" s="108" t="s">
        <v>804</v>
      </c>
      <c r="I66" s="112"/>
      <c r="J66" s="40" t="s">
        <v>188</v>
      </c>
      <c r="K66" s="47" t="e">
        <f>#REF!</f>
        <v>#REF!</v>
      </c>
      <c r="L66" s="40"/>
      <c r="M66" s="20"/>
      <c r="N66" s="30"/>
      <c r="O66" s="41"/>
      <c r="P66" s="45"/>
      <c r="Q66" s="45"/>
    </row>
    <row r="67" spans="1:17" s="46" customFormat="1" ht="31.2" x14ac:dyDescent="0.3">
      <c r="A67" s="94">
        <v>2</v>
      </c>
      <c r="B67" s="95">
        <v>1</v>
      </c>
      <c r="C67" s="95" t="s">
        <v>709</v>
      </c>
      <c r="D67" s="36">
        <v>5</v>
      </c>
      <c r="E67" s="42"/>
      <c r="F67" s="42"/>
      <c r="G67" s="66"/>
      <c r="H67" s="108" t="s">
        <v>805</v>
      </c>
      <c r="I67" s="112"/>
      <c r="J67" s="40" t="s">
        <v>188</v>
      </c>
      <c r="K67" s="47" t="e">
        <f>#REF!</f>
        <v>#REF!</v>
      </c>
      <c r="L67" s="40" t="s">
        <v>713</v>
      </c>
      <c r="M67" s="20"/>
      <c r="N67" s="30"/>
      <c r="O67" s="41"/>
      <c r="P67" s="45"/>
      <c r="Q67" s="45"/>
    </row>
    <row r="68" spans="1:17" s="46" customFormat="1" ht="46.8" x14ac:dyDescent="0.3">
      <c r="A68" s="94">
        <v>2</v>
      </c>
      <c r="B68" s="95">
        <v>1</v>
      </c>
      <c r="C68" s="95" t="s">
        <v>710</v>
      </c>
      <c r="D68" s="36"/>
      <c r="E68" s="42"/>
      <c r="F68" s="42"/>
      <c r="G68" s="66"/>
      <c r="H68" s="108" t="s">
        <v>806</v>
      </c>
      <c r="I68" s="112"/>
      <c r="J68" s="40" t="s">
        <v>188</v>
      </c>
      <c r="K68" s="47" t="e">
        <f>#REF!</f>
        <v>#REF!</v>
      </c>
      <c r="L68" s="37"/>
      <c r="M68" s="20"/>
      <c r="N68" s="30"/>
      <c r="O68" s="41"/>
      <c r="P68" s="45"/>
      <c r="Q68" s="45"/>
    </row>
    <row r="69" spans="1:17" s="46" customFormat="1" ht="31.2" x14ac:dyDescent="0.3">
      <c r="A69" s="94">
        <v>2</v>
      </c>
      <c r="B69" s="95">
        <v>1</v>
      </c>
      <c r="C69" s="95" t="s">
        <v>711</v>
      </c>
      <c r="D69" s="36"/>
      <c r="E69" s="42"/>
      <c r="F69" s="42"/>
      <c r="G69" s="66"/>
      <c r="H69" s="108" t="s">
        <v>807</v>
      </c>
      <c r="I69" s="112"/>
      <c r="J69" s="40" t="s">
        <v>188</v>
      </c>
      <c r="K69" s="47" t="e">
        <f>#REF!</f>
        <v>#REF!</v>
      </c>
      <c r="L69" s="40"/>
      <c r="M69" s="20"/>
      <c r="N69" s="30"/>
      <c r="O69" s="41"/>
      <c r="P69" s="45"/>
      <c r="Q69" s="45"/>
    </row>
    <row r="70" spans="1:17" s="46" customFormat="1" ht="31.2" x14ac:dyDescent="0.3">
      <c r="A70" s="94">
        <v>2</v>
      </c>
      <c r="B70" s="95">
        <v>1</v>
      </c>
      <c r="C70" s="95" t="s">
        <v>712</v>
      </c>
      <c r="D70" s="36"/>
      <c r="E70" s="42"/>
      <c r="F70" s="42"/>
      <c r="G70" s="66"/>
      <c r="H70" s="108" t="s">
        <v>808</v>
      </c>
      <c r="I70" s="112"/>
      <c r="J70" s="40" t="s">
        <v>188</v>
      </c>
      <c r="K70" s="47" t="e">
        <f>#REF!+#REF!</f>
        <v>#REF!</v>
      </c>
      <c r="L70" s="40"/>
      <c r="M70" s="20"/>
      <c r="N70" s="30"/>
      <c r="O70" s="41"/>
      <c r="P70" s="45"/>
      <c r="Q70" s="45"/>
    </row>
    <row r="71" spans="1:17" s="46" customFormat="1" ht="15.6" x14ac:dyDescent="0.3">
      <c r="A71" s="94">
        <v>2</v>
      </c>
      <c r="B71" s="95">
        <v>1</v>
      </c>
      <c r="C71" s="95" t="s">
        <v>731</v>
      </c>
      <c r="D71" s="36"/>
      <c r="E71" s="42"/>
      <c r="F71" s="42"/>
      <c r="G71" s="66"/>
      <c r="H71" s="96" t="s">
        <v>809</v>
      </c>
      <c r="I71" s="42"/>
      <c r="J71" s="40"/>
      <c r="K71" s="47" t="e">
        <f>#REF!+#REF!</f>
        <v>#REF!</v>
      </c>
      <c r="L71" s="40"/>
      <c r="M71" s="20"/>
      <c r="N71" s="30"/>
      <c r="O71" s="41"/>
      <c r="P71" s="45"/>
      <c r="Q71" s="45"/>
    </row>
    <row r="72" spans="1:17" s="46" customFormat="1" ht="15.6" x14ac:dyDescent="0.3">
      <c r="A72" s="94">
        <v>2</v>
      </c>
      <c r="B72" s="95">
        <v>1</v>
      </c>
      <c r="C72" s="95" t="s">
        <v>732</v>
      </c>
      <c r="D72" s="36"/>
      <c r="E72" s="42"/>
      <c r="F72" s="42"/>
      <c r="G72" s="66"/>
      <c r="H72" s="96" t="s">
        <v>810</v>
      </c>
      <c r="I72" s="42"/>
      <c r="J72" s="40"/>
      <c r="K72" s="47" t="e">
        <f>#REF!</f>
        <v>#REF!</v>
      </c>
      <c r="L72" s="40"/>
      <c r="M72" s="20"/>
      <c r="N72" s="30"/>
      <c r="O72" s="41"/>
      <c r="P72" s="45"/>
      <c r="Q72" s="45"/>
    </row>
    <row r="73" spans="1:17" s="27" customFormat="1" ht="15.6" x14ac:dyDescent="0.3">
      <c r="A73" s="133">
        <v>2</v>
      </c>
      <c r="B73" s="126">
        <v>2</v>
      </c>
      <c r="C73" s="126"/>
      <c r="D73" s="36"/>
      <c r="E73" s="21"/>
      <c r="F73" s="21"/>
      <c r="G73" s="23"/>
      <c r="H73" s="134" t="s">
        <v>811</v>
      </c>
      <c r="I73" s="135"/>
      <c r="J73" s="22"/>
      <c r="K73" s="24" t="e">
        <f>K74+K75+K76+K77+K78+K79+K80+K81+K82</f>
        <v>#REF!</v>
      </c>
      <c r="L73" s="22" t="s">
        <v>812</v>
      </c>
      <c r="M73" s="20"/>
      <c r="N73" s="30"/>
      <c r="O73" s="41"/>
      <c r="P73" s="26"/>
      <c r="Q73" s="26"/>
    </row>
    <row r="74" spans="1:17" s="46" customFormat="1" ht="46.8" x14ac:dyDescent="0.3">
      <c r="A74" s="94">
        <v>2</v>
      </c>
      <c r="B74" s="95">
        <v>2</v>
      </c>
      <c r="C74" s="95" t="s">
        <v>705</v>
      </c>
      <c r="D74" s="36"/>
      <c r="E74" s="42"/>
      <c r="F74" s="42"/>
      <c r="G74" s="66"/>
      <c r="H74" s="108" t="s">
        <v>813</v>
      </c>
      <c r="I74" s="112"/>
      <c r="J74" s="40" t="s">
        <v>188</v>
      </c>
      <c r="K74" s="47" t="e">
        <f>#REF!+#REF!</f>
        <v>#REF!</v>
      </c>
      <c r="L74" s="40"/>
      <c r="M74" s="20"/>
      <c r="N74" s="30"/>
      <c r="O74" s="41"/>
      <c r="P74" s="45"/>
      <c r="Q74" s="45"/>
    </row>
    <row r="75" spans="1:17" s="46" customFormat="1" ht="31.2" x14ac:dyDescent="0.3">
      <c r="A75" s="94">
        <v>2</v>
      </c>
      <c r="B75" s="95">
        <v>2</v>
      </c>
      <c r="C75" s="95" t="s">
        <v>706</v>
      </c>
      <c r="D75" s="36"/>
      <c r="E75" s="42"/>
      <c r="F75" s="42"/>
      <c r="G75" s="66"/>
      <c r="H75" s="108" t="s">
        <v>814</v>
      </c>
      <c r="I75" s="112"/>
      <c r="J75" s="40" t="s">
        <v>188</v>
      </c>
      <c r="K75" s="47" t="e">
        <f>#REF!+#REF!</f>
        <v>#REF!</v>
      </c>
      <c r="L75" s="48" t="s">
        <v>815</v>
      </c>
      <c r="M75" s="20"/>
      <c r="N75" s="30"/>
      <c r="O75" s="41"/>
      <c r="P75" s="45"/>
      <c r="Q75" s="45"/>
    </row>
    <row r="76" spans="1:17" s="46" customFormat="1" ht="36.75" customHeight="1" x14ac:dyDescent="0.3">
      <c r="A76" s="94">
        <v>2</v>
      </c>
      <c r="B76" s="95">
        <v>2</v>
      </c>
      <c r="C76" s="95" t="s">
        <v>707</v>
      </c>
      <c r="D76" s="36"/>
      <c r="E76" s="42"/>
      <c r="F76" s="42"/>
      <c r="G76" s="66"/>
      <c r="H76" s="108" t="s">
        <v>816</v>
      </c>
      <c r="I76" s="112"/>
      <c r="J76" s="40" t="s">
        <v>97</v>
      </c>
      <c r="K76" s="47" t="e">
        <f>#REF!</f>
        <v>#REF!</v>
      </c>
      <c r="L76" s="40"/>
      <c r="M76" s="20"/>
      <c r="N76" s="30"/>
      <c r="O76" s="41"/>
      <c r="P76" s="45"/>
      <c r="Q76" s="45"/>
    </row>
    <row r="77" spans="1:17" s="46" customFormat="1" ht="21" customHeight="1" x14ac:dyDescent="0.3">
      <c r="A77" s="94">
        <v>2</v>
      </c>
      <c r="B77" s="95">
        <v>2</v>
      </c>
      <c r="C77" s="95" t="s">
        <v>708</v>
      </c>
      <c r="D77" s="36"/>
      <c r="E77" s="42"/>
      <c r="F77" s="42"/>
      <c r="G77" s="66"/>
      <c r="H77" s="113" t="s">
        <v>817</v>
      </c>
      <c r="I77" s="124"/>
      <c r="J77" s="40" t="s">
        <v>818</v>
      </c>
      <c r="K77" s="47" t="e">
        <f>#REF!+#REF!</f>
        <v>#REF!</v>
      </c>
      <c r="L77" s="40"/>
      <c r="M77" s="20"/>
      <c r="N77" s="30"/>
      <c r="O77" s="41"/>
      <c r="P77" s="45"/>
      <c r="Q77" s="45" t="e">
        <f>K77</f>
        <v>#REF!</v>
      </c>
    </row>
    <row r="78" spans="1:17" s="46" customFormat="1" ht="15.6" x14ac:dyDescent="0.3">
      <c r="A78" s="94">
        <v>2</v>
      </c>
      <c r="B78" s="95">
        <v>2</v>
      </c>
      <c r="C78" s="95" t="s">
        <v>709</v>
      </c>
      <c r="D78" s="36"/>
      <c r="E78" s="42"/>
      <c r="F78" s="42"/>
      <c r="G78" s="66"/>
      <c r="H78" s="113" t="s">
        <v>819</v>
      </c>
      <c r="I78" s="124"/>
      <c r="J78" s="40" t="s">
        <v>97</v>
      </c>
      <c r="K78" s="47" t="e">
        <f>#REF!</f>
        <v>#REF!</v>
      </c>
      <c r="L78" s="40" t="s">
        <v>77</v>
      </c>
      <c r="M78" s="20"/>
      <c r="N78" s="30"/>
      <c r="O78" s="41"/>
      <c r="P78" s="45"/>
      <c r="Q78" s="45"/>
    </row>
    <row r="79" spans="1:17" s="46" customFormat="1" ht="15.6" x14ac:dyDescent="0.3">
      <c r="A79" s="94">
        <v>2</v>
      </c>
      <c r="B79" s="95">
        <v>2</v>
      </c>
      <c r="C79" s="95" t="s">
        <v>710</v>
      </c>
      <c r="D79" s="36"/>
      <c r="E79" s="42"/>
      <c r="F79" s="42"/>
      <c r="G79" s="66"/>
      <c r="H79" s="113" t="s">
        <v>820</v>
      </c>
      <c r="I79" s="124"/>
      <c r="J79" s="40" t="s">
        <v>188</v>
      </c>
      <c r="K79" s="47" t="e">
        <f>#REF!</f>
        <v>#REF!</v>
      </c>
      <c r="L79" s="37" t="s">
        <v>713</v>
      </c>
      <c r="M79" s="20"/>
      <c r="N79" s="30"/>
      <c r="O79" s="41"/>
      <c r="P79" s="45"/>
      <c r="Q79" s="45"/>
    </row>
    <row r="80" spans="1:17" s="46" customFormat="1" ht="15.6" x14ac:dyDescent="0.3">
      <c r="A80" s="94">
        <v>2</v>
      </c>
      <c r="B80" s="95">
        <v>2</v>
      </c>
      <c r="C80" s="95" t="s">
        <v>711</v>
      </c>
      <c r="D80" s="36"/>
      <c r="E80" s="42"/>
      <c r="F80" s="42"/>
      <c r="G80" s="66"/>
      <c r="H80" s="113" t="s">
        <v>821</v>
      </c>
      <c r="I80" s="124"/>
      <c r="J80" s="40" t="s">
        <v>188</v>
      </c>
      <c r="K80" s="47" t="e">
        <f>#REF!</f>
        <v>#REF!</v>
      </c>
      <c r="L80" s="40"/>
      <c r="M80" s="20"/>
      <c r="N80" s="30"/>
      <c r="O80" s="41"/>
      <c r="P80" s="45"/>
      <c r="Q80" s="45"/>
    </row>
    <row r="81" spans="1:17" s="46" customFormat="1" ht="15.6" x14ac:dyDescent="0.3">
      <c r="A81" s="94">
        <v>2</v>
      </c>
      <c r="B81" s="95">
        <v>2</v>
      </c>
      <c r="C81" s="95" t="s">
        <v>712</v>
      </c>
      <c r="D81" s="36"/>
      <c r="E81" s="42"/>
      <c r="F81" s="42"/>
      <c r="G81" s="66"/>
      <c r="H81" s="113" t="s">
        <v>822</v>
      </c>
      <c r="I81" s="124"/>
      <c r="J81" s="40" t="s">
        <v>188</v>
      </c>
      <c r="K81" s="47" t="e">
        <f>#REF!</f>
        <v>#REF!</v>
      </c>
      <c r="L81" s="40"/>
      <c r="M81" s="20"/>
      <c r="N81" s="30"/>
      <c r="O81" s="41"/>
      <c r="P81" s="45"/>
      <c r="Q81" s="45"/>
    </row>
    <row r="82" spans="1:17" s="46" customFormat="1" ht="31.2" x14ac:dyDescent="0.3">
      <c r="A82" s="94">
        <v>2</v>
      </c>
      <c r="B82" s="95">
        <v>2</v>
      </c>
      <c r="C82" s="95" t="s">
        <v>731</v>
      </c>
      <c r="D82" s="36"/>
      <c r="E82" s="42"/>
      <c r="F82" s="42"/>
      <c r="G82" s="66"/>
      <c r="H82" s="108" t="s">
        <v>823</v>
      </c>
      <c r="I82" s="112"/>
      <c r="J82" s="40" t="s">
        <v>188</v>
      </c>
      <c r="K82" s="47" t="e">
        <f>#REF!</f>
        <v>#REF!</v>
      </c>
      <c r="L82" s="40"/>
      <c r="M82" s="20"/>
      <c r="N82" s="30"/>
      <c r="O82" s="41"/>
      <c r="P82" s="45"/>
      <c r="Q82" s="45"/>
    </row>
    <row r="83" spans="1:17" s="27" customFormat="1" ht="15.6" x14ac:dyDescent="0.3">
      <c r="A83" s="133">
        <v>2</v>
      </c>
      <c r="B83" s="126">
        <v>3</v>
      </c>
      <c r="C83" s="131"/>
      <c r="D83" s="36"/>
      <c r="E83" s="21"/>
      <c r="F83" s="21"/>
      <c r="G83" s="23"/>
      <c r="H83" s="134" t="s">
        <v>824</v>
      </c>
      <c r="I83" s="129"/>
      <c r="J83" s="22"/>
      <c r="K83" s="24" t="e">
        <f>K84+K85+K86+K87+K88+K89+K90+K91+K92+K93+K94+K95+K96+K97+K98+K99+K100+K101+K102+K103</f>
        <v>#REF!</v>
      </c>
      <c r="L83" s="22"/>
      <c r="M83" s="20"/>
      <c r="N83" s="30"/>
      <c r="O83" s="41"/>
      <c r="P83" s="26"/>
      <c r="Q83" s="26"/>
    </row>
    <row r="84" spans="1:17" s="46" customFormat="1" ht="15.6" x14ac:dyDescent="0.3">
      <c r="A84" s="94">
        <v>2</v>
      </c>
      <c r="B84" s="95">
        <v>3</v>
      </c>
      <c r="C84" s="95" t="s">
        <v>705</v>
      </c>
      <c r="D84" s="36">
        <v>5</v>
      </c>
      <c r="E84" s="42"/>
      <c r="F84" s="42"/>
      <c r="G84" s="66"/>
      <c r="H84" s="113" t="s">
        <v>825</v>
      </c>
      <c r="I84" s="124"/>
      <c r="J84" s="40" t="s">
        <v>188</v>
      </c>
      <c r="K84" s="47" t="e">
        <f>#REF!</f>
        <v>#REF!</v>
      </c>
      <c r="L84" s="37"/>
      <c r="M84" s="20"/>
      <c r="N84" s="30"/>
      <c r="O84" s="41"/>
      <c r="P84" s="45"/>
      <c r="Q84" s="45"/>
    </row>
    <row r="85" spans="1:17" s="46" customFormat="1" ht="15.6" x14ac:dyDescent="0.3">
      <c r="A85" s="94">
        <v>2</v>
      </c>
      <c r="B85" s="95">
        <v>3</v>
      </c>
      <c r="C85" s="95" t="s">
        <v>706</v>
      </c>
      <c r="D85" s="36"/>
      <c r="E85" s="42"/>
      <c r="F85" s="42"/>
      <c r="G85" s="66"/>
      <c r="H85" s="113" t="s">
        <v>826</v>
      </c>
      <c r="I85" s="124"/>
      <c r="J85" s="40" t="s">
        <v>188</v>
      </c>
      <c r="K85" s="47" t="e">
        <f>#REF!</f>
        <v>#REF!</v>
      </c>
      <c r="L85" s="48" t="s">
        <v>713</v>
      </c>
      <c r="M85" s="20"/>
      <c r="N85" s="30"/>
      <c r="O85" s="45"/>
      <c r="P85" s="45"/>
      <c r="Q85" s="45"/>
    </row>
    <row r="86" spans="1:17" s="46" customFormat="1" ht="18" customHeight="1" x14ac:dyDescent="0.3">
      <c r="A86" s="94">
        <v>2</v>
      </c>
      <c r="B86" s="95">
        <v>3</v>
      </c>
      <c r="C86" s="95" t="s">
        <v>707</v>
      </c>
      <c r="D86" s="36">
        <v>5</v>
      </c>
      <c r="E86" s="42"/>
      <c r="F86" s="42"/>
      <c r="G86" s="66"/>
      <c r="H86" s="113" t="s">
        <v>828</v>
      </c>
      <c r="I86" s="124"/>
      <c r="J86" s="40" t="s">
        <v>188</v>
      </c>
      <c r="K86" s="47" t="e">
        <f>#REF!</f>
        <v>#REF!</v>
      </c>
      <c r="L86" s="48" t="s">
        <v>829</v>
      </c>
      <c r="M86" s="20"/>
      <c r="N86" s="30"/>
      <c r="O86" s="45"/>
      <c r="P86" s="45"/>
      <c r="Q86" s="45"/>
    </row>
    <row r="87" spans="1:17" s="46" customFormat="1" ht="15.6" x14ac:dyDescent="0.3">
      <c r="A87" s="94">
        <v>2</v>
      </c>
      <c r="B87" s="95">
        <v>3</v>
      </c>
      <c r="C87" s="95" t="s">
        <v>708</v>
      </c>
      <c r="D87" s="36"/>
      <c r="E87" s="42"/>
      <c r="F87" s="42"/>
      <c r="G87" s="66"/>
      <c r="H87" s="113" t="s">
        <v>830</v>
      </c>
      <c r="I87" s="124"/>
      <c r="J87" s="40" t="s">
        <v>188</v>
      </c>
      <c r="K87" s="47" t="e">
        <f>#REF!</f>
        <v>#REF!</v>
      </c>
      <c r="L87" s="40"/>
      <c r="M87" s="20"/>
      <c r="N87" s="30"/>
      <c r="O87" s="41"/>
      <c r="P87" s="45"/>
      <c r="Q87" s="45"/>
    </row>
    <row r="88" spans="1:17" s="46" customFormat="1" ht="30.6" customHeight="1" x14ac:dyDescent="0.3">
      <c r="A88" s="94">
        <v>2</v>
      </c>
      <c r="B88" s="95">
        <v>3</v>
      </c>
      <c r="C88" s="95" t="s">
        <v>709</v>
      </c>
      <c r="D88" s="36"/>
      <c r="E88" s="42"/>
      <c r="F88" s="42"/>
      <c r="G88" s="66"/>
      <c r="H88" s="108" t="s">
        <v>831</v>
      </c>
      <c r="I88" s="112"/>
      <c r="J88" s="40" t="s">
        <v>188</v>
      </c>
      <c r="K88" s="47" t="e">
        <f>#REF!</f>
        <v>#REF!</v>
      </c>
      <c r="L88" s="40" t="s">
        <v>832</v>
      </c>
      <c r="M88" s="20"/>
      <c r="N88" s="30"/>
      <c r="O88" s="41"/>
      <c r="P88" s="45"/>
      <c r="Q88" s="45"/>
    </row>
    <row r="89" spans="1:17" s="46" customFormat="1" ht="15.6" x14ac:dyDescent="0.3">
      <c r="A89" s="94">
        <v>2</v>
      </c>
      <c r="B89" s="95">
        <v>3</v>
      </c>
      <c r="C89" s="95" t="s">
        <v>710</v>
      </c>
      <c r="D89" s="36"/>
      <c r="E89" s="42"/>
      <c r="F89" s="42"/>
      <c r="G89" s="66"/>
      <c r="H89" s="113" t="s">
        <v>833</v>
      </c>
      <c r="I89" s="124"/>
      <c r="J89" s="40" t="s">
        <v>188</v>
      </c>
      <c r="K89" s="47" t="e">
        <f>#REF!</f>
        <v>#REF!</v>
      </c>
      <c r="L89" s="40"/>
      <c r="M89" s="20"/>
      <c r="N89" s="30"/>
      <c r="O89" s="41"/>
      <c r="P89" s="45"/>
      <c r="Q89" s="45"/>
    </row>
    <row r="90" spans="1:17" s="46" customFormat="1" ht="31.2" x14ac:dyDescent="0.3">
      <c r="A90" s="94">
        <v>2</v>
      </c>
      <c r="B90" s="95">
        <v>3</v>
      </c>
      <c r="C90" s="95" t="s">
        <v>711</v>
      </c>
      <c r="D90" s="36"/>
      <c r="E90" s="42"/>
      <c r="F90" s="42"/>
      <c r="G90" s="66"/>
      <c r="H90" s="108" t="s">
        <v>834</v>
      </c>
      <c r="I90" s="112"/>
      <c r="J90" s="40" t="s">
        <v>188</v>
      </c>
      <c r="K90" s="47" t="e">
        <f>#REF!</f>
        <v>#REF!</v>
      </c>
      <c r="L90" s="40"/>
      <c r="M90" s="20"/>
      <c r="N90" s="30"/>
      <c r="O90" s="41"/>
      <c r="P90" s="45"/>
      <c r="Q90" s="45"/>
    </row>
    <row r="91" spans="1:17" s="46" customFormat="1" ht="15.6" x14ac:dyDescent="0.3">
      <c r="A91" s="94">
        <v>2</v>
      </c>
      <c r="B91" s="95">
        <v>3</v>
      </c>
      <c r="C91" s="95" t="s">
        <v>712</v>
      </c>
      <c r="D91" s="36"/>
      <c r="E91" s="42"/>
      <c r="F91" s="42"/>
      <c r="G91" s="66"/>
      <c r="H91" s="113" t="s">
        <v>835</v>
      </c>
      <c r="I91" s="124"/>
      <c r="J91" s="40" t="s">
        <v>188</v>
      </c>
      <c r="K91" s="47" t="e">
        <f>#REF!</f>
        <v>#REF!</v>
      </c>
      <c r="L91" s="40"/>
      <c r="M91" s="20"/>
      <c r="N91" s="30"/>
      <c r="O91" s="41"/>
      <c r="P91" s="45"/>
      <c r="Q91" s="45"/>
    </row>
    <row r="92" spans="1:17" s="46" customFormat="1" ht="15.6" x14ac:dyDescent="0.3">
      <c r="A92" s="94">
        <v>2</v>
      </c>
      <c r="B92" s="95">
        <v>3</v>
      </c>
      <c r="C92" s="95" t="s">
        <v>731</v>
      </c>
      <c r="D92" s="42"/>
      <c r="E92" s="42"/>
      <c r="F92" s="42"/>
      <c r="G92" s="88"/>
      <c r="H92" s="108" t="s">
        <v>836</v>
      </c>
      <c r="I92" s="124"/>
      <c r="J92" s="40" t="s">
        <v>188</v>
      </c>
      <c r="K92" s="47" t="e">
        <f>#REF!</f>
        <v>#REF!</v>
      </c>
      <c r="L92" s="40"/>
      <c r="M92" s="20"/>
      <c r="N92" s="30"/>
      <c r="O92" s="41"/>
      <c r="P92" s="45"/>
      <c r="Q92" s="45"/>
    </row>
    <row r="93" spans="1:17" s="46" customFormat="1" ht="15.6" x14ac:dyDescent="0.3">
      <c r="A93" s="94">
        <v>2</v>
      </c>
      <c r="B93" s="95">
        <v>3</v>
      </c>
      <c r="C93" s="95" t="s">
        <v>732</v>
      </c>
      <c r="D93" s="36"/>
      <c r="E93" s="42"/>
      <c r="F93" s="42"/>
      <c r="G93" s="66"/>
      <c r="H93" s="113" t="s">
        <v>837</v>
      </c>
      <c r="I93" s="137" t="s">
        <v>838</v>
      </c>
      <c r="J93" s="40" t="s">
        <v>188</v>
      </c>
      <c r="K93" s="47" t="e">
        <f>#REF!</f>
        <v>#REF!</v>
      </c>
      <c r="L93" s="40"/>
      <c r="M93" s="20"/>
      <c r="N93" s="30"/>
      <c r="O93" s="41"/>
      <c r="P93" s="45"/>
      <c r="Q93" s="45"/>
    </row>
    <row r="94" spans="1:17" s="46" customFormat="1" ht="31.2" x14ac:dyDescent="0.3">
      <c r="A94" s="94">
        <v>2</v>
      </c>
      <c r="B94" s="95">
        <v>3</v>
      </c>
      <c r="C94" s="95" t="s">
        <v>733</v>
      </c>
      <c r="D94" s="36"/>
      <c r="E94" s="42"/>
      <c r="F94" s="42"/>
      <c r="G94" s="66"/>
      <c r="H94" s="108" t="s">
        <v>839</v>
      </c>
      <c r="I94" s="112"/>
      <c r="J94" s="40" t="s">
        <v>188</v>
      </c>
      <c r="K94" s="47" t="e">
        <f>#REF!</f>
        <v>#REF!</v>
      </c>
      <c r="L94" s="40" t="s">
        <v>840</v>
      </c>
      <c r="M94" s="20"/>
      <c r="N94" s="30"/>
      <c r="O94" s="41"/>
      <c r="P94" s="45"/>
      <c r="Q94" s="45"/>
    </row>
    <row r="95" spans="1:17" s="46" customFormat="1" ht="15.6" x14ac:dyDescent="0.3">
      <c r="A95" s="94">
        <v>2</v>
      </c>
      <c r="B95" s="95">
        <v>3</v>
      </c>
      <c r="C95" s="95" t="s">
        <v>734</v>
      </c>
      <c r="D95" s="36"/>
      <c r="E95" s="42"/>
      <c r="F95" s="42"/>
      <c r="G95" s="66"/>
      <c r="H95" s="113" t="s">
        <v>841</v>
      </c>
      <c r="I95" s="124"/>
      <c r="J95" s="40" t="s">
        <v>188</v>
      </c>
      <c r="K95" s="47" t="e">
        <f>#REF!</f>
        <v>#REF!</v>
      </c>
      <c r="L95" s="48" t="s">
        <v>713</v>
      </c>
      <c r="M95" s="20"/>
      <c r="N95" s="30"/>
      <c r="O95" s="41"/>
      <c r="P95" s="45"/>
      <c r="Q95" s="45" t="e">
        <f>K95</f>
        <v>#REF!</v>
      </c>
    </row>
    <row r="96" spans="1:17" s="46" customFormat="1" ht="15.6" x14ac:dyDescent="0.3">
      <c r="A96" s="94">
        <v>2</v>
      </c>
      <c r="B96" s="95">
        <v>3</v>
      </c>
      <c r="C96" s="95" t="s">
        <v>842</v>
      </c>
      <c r="D96" s="36"/>
      <c r="E96" s="42"/>
      <c r="F96" s="42"/>
      <c r="G96" s="66"/>
      <c r="H96" s="113" t="s">
        <v>843</v>
      </c>
      <c r="I96" s="124"/>
      <c r="J96" s="40" t="s">
        <v>188</v>
      </c>
      <c r="K96" s="47" t="e">
        <f>#REF!</f>
        <v>#REF!</v>
      </c>
      <c r="L96" s="40"/>
      <c r="M96" s="20"/>
      <c r="N96" s="30"/>
      <c r="O96" s="41"/>
      <c r="P96" s="45"/>
      <c r="Q96" s="45"/>
    </row>
    <row r="97" spans="1:22" s="46" customFormat="1" ht="50.25" customHeight="1" x14ac:dyDescent="0.3">
      <c r="A97" s="94">
        <v>2</v>
      </c>
      <c r="B97" s="95">
        <v>3</v>
      </c>
      <c r="C97" s="95" t="s">
        <v>844</v>
      </c>
      <c r="D97" s="36"/>
      <c r="E97" s="42"/>
      <c r="F97" s="42"/>
      <c r="G97" s="66"/>
      <c r="H97" s="108" t="s">
        <v>845</v>
      </c>
      <c r="I97" s="138" t="s">
        <v>838</v>
      </c>
      <c r="J97" s="40" t="s">
        <v>188</v>
      </c>
      <c r="K97" s="47" t="e">
        <f>#REF!</f>
        <v>#REF!</v>
      </c>
      <c r="L97" s="40" t="s">
        <v>713</v>
      </c>
      <c r="M97" s="20"/>
      <c r="N97" s="30"/>
      <c r="O97" s="41"/>
      <c r="P97" s="45"/>
      <c r="Q97" s="45"/>
    </row>
    <row r="98" spans="1:22" s="46" customFormat="1" ht="15.6" x14ac:dyDescent="0.3">
      <c r="A98" s="94">
        <v>2</v>
      </c>
      <c r="B98" s="95">
        <v>3</v>
      </c>
      <c r="C98" s="95" t="s">
        <v>846</v>
      </c>
      <c r="D98" s="36"/>
      <c r="E98" s="42"/>
      <c r="F98" s="42"/>
      <c r="G98" s="66"/>
      <c r="H98" s="96" t="s">
        <v>847</v>
      </c>
      <c r="I98" s="42"/>
      <c r="J98" s="40" t="s">
        <v>188</v>
      </c>
      <c r="K98" s="47"/>
      <c r="L98" s="40"/>
      <c r="M98" s="20"/>
      <c r="N98" s="30"/>
      <c r="O98" s="41"/>
      <c r="P98" s="45"/>
      <c r="Q98" s="45"/>
    </row>
    <row r="99" spans="1:22" s="46" customFormat="1" ht="35.25" customHeight="1" x14ac:dyDescent="0.3">
      <c r="A99" s="94">
        <v>2</v>
      </c>
      <c r="B99" s="95">
        <v>3</v>
      </c>
      <c r="C99" s="95" t="s">
        <v>848</v>
      </c>
      <c r="D99" s="36"/>
      <c r="E99" s="42"/>
      <c r="F99" s="42"/>
      <c r="G99" s="66"/>
      <c r="H99" s="108" t="s">
        <v>849</v>
      </c>
      <c r="I99" s="112"/>
      <c r="J99" s="40" t="s">
        <v>188</v>
      </c>
      <c r="K99" s="47" t="e">
        <f>#REF!</f>
        <v>#REF!</v>
      </c>
      <c r="L99" s="48" t="s">
        <v>850</v>
      </c>
      <c r="M99" s="20"/>
      <c r="N99" s="30"/>
      <c r="O99" s="41"/>
      <c r="P99" s="45"/>
      <c r="Q99" s="45"/>
      <c r="V99" s="139" t="e">
        <f>K99</f>
        <v>#REF!</v>
      </c>
    </row>
    <row r="100" spans="1:22" s="46" customFormat="1" ht="15.6" x14ac:dyDescent="0.3">
      <c r="A100" s="94">
        <v>2</v>
      </c>
      <c r="B100" s="95">
        <v>3</v>
      </c>
      <c r="C100" s="95" t="s">
        <v>851</v>
      </c>
      <c r="D100" s="36"/>
      <c r="E100" s="42"/>
      <c r="F100" s="42"/>
      <c r="G100" s="66"/>
      <c r="H100" s="113" t="s">
        <v>852</v>
      </c>
      <c r="I100" s="124"/>
      <c r="J100" s="40" t="s">
        <v>188</v>
      </c>
      <c r="K100" s="47" t="e">
        <f>#REF!</f>
        <v>#REF!</v>
      </c>
      <c r="L100" s="40"/>
      <c r="M100" s="20"/>
      <c r="N100" s="30"/>
      <c r="O100" s="41"/>
      <c r="P100" s="45"/>
      <c r="Q100" s="45"/>
    </row>
    <row r="101" spans="1:22" s="46" customFormat="1" ht="15.6" x14ac:dyDescent="0.3">
      <c r="A101" s="94">
        <v>2</v>
      </c>
      <c r="B101" s="95">
        <v>3</v>
      </c>
      <c r="C101" s="95" t="s">
        <v>853</v>
      </c>
      <c r="D101" s="36"/>
      <c r="E101" s="42"/>
      <c r="F101" s="42"/>
      <c r="G101" s="66"/>
      <c r="H101" s="113" t="s">
        <v>854</v>
      </c>
      <c r="I101" s="124"/>
      <c r="J101" s="40" t="s">
        <v>188</v>
      </c>
      <c r="K101" s="47" t="e">
        <f>#REF!</f>
        <v>#REF!</v>
      </c>
      <c r="L101" s="40"/>
      <c r="M101" s="20"/>
      <c r="N101" s="30"/>
      <c r="O101" s="41"/>
      <c r="P101" s="45"/>
      <c r="Q101" s="45"/>
    </row>
    <row r="102" spans="1:22" s="46" customFormat="1" ht="15.6" x14ac:dyDescent="0.3">
      <c r="A102" s="94">
        <v>2</v>
      </c>
      <c r="B102" s="95">
        <v>3</v>
      </c>
      <c r="C102" s="95">
        <v>19</v>
      </c>
      <c r="D102" s="36"/>
      <c r="E102" s="42"/>
      <c r="F102" s="42"/>
      <c r="G102" s="66"/>
      <c r="H102" s="113" t="s">
        <v>855</v>
      </c>
      <c r="I102" s="124"/>
      <c r="J102" s="40" t="s">
        <v>188</v>
      </c>
      <c r="K102" s="47" t="e">
        <f>#REF!</f>
        <v>#REF!</v>
      </c>
      <c r="L102" s="40"/>
      <c r="M102" s="20"/>
      <c r="N102" s="30"/>
      <c r="O102" s="41"/>
      <c r="P102" s="45"/>
      <c r="Q102" s="45"/>
    </row>
    <row r="103" spans="1:22" s="142" customFormat="1" ht="15.6" x14ac:dyDescent="0.3">
      <c r="A103" s="114">
        <v>2</v>
      </c>
      <c r="B103" s="114">
        <v>3</v>
      </c>
      <c r="C103" s="114">
        <v>20</v>
      </c>
      <c r="D103" s="114"/>
      <c r="E103" s="113"/>
      <c r="F103" s="113"/>
      <c r="G103" s="113"/>
      <c r="H103" s="113" t="s">
        <v>856</v>
      </c>
      <c r="I103" s="114"/>
      <c r="J103" s="113" t="s">
        <v>188</v>
      </c>
      <c r="K103" s="140" t="e">
        <f>#REF!</f>
        <v>#REF!</v>
      </c>
      <c r="L103" s="37"/>
      <c r="M103" s="20"/>
      <c r="N103" s="30"/>
      <c r="O103" s="41"/>
      <c r="P103" s="141"/>
      <c r="Q103" s="141"/>
    </row>
    <row r="104" spans="1:22" s="27" customFormat="1" ht="15.6" x14ac:dyDescent="0.3">
      <c r="A104" s="133">
        <v>2</v>
      </c>
      <c r="B104" s="126">
        <v>4</v>
      </c>
      <c r="C104" s="126"/>
      <c r="D104" s="36"/>
      <c r="E104" s="21"/>
      <c r="F104" s="21"/>
      <c r="G104" s="23"/>
      <c r="H104" s="134" t="s">
        <v>857</v>
      </c>
      <c r="I104" s="129"/>
      <c r="J104" s="22"/>
      <c r="K104" s="24" t="e">
        <f>K105+K106+K107+K108+K109+K111+K112+K113+K114+K115+K116+K117+K118+K119+K120+K121+K110</f>
        <v>#REF!</v>
      </c>
      <c r="L104" s="143" t="s">
        <v>713</v>
      </c>
      <c r="M104" s="20"/>
      <c r="N104" s="30"/>
      <c r="O104" s="41"/>
      <c r="P104" s="26"/>
      <c r="Q104" s="26"/>
    </row>
    <row r="105" spans="1:22" s="46" customFormat="1" ht="31.2" x14ac:dyDescent="0.3">
      <c r="A105" s="107">
        <v>2</v>
      </c>
      <c r="B105" s="95">
        <v>4</v>
      </c>
      <c r="C105" s="95" t="s">
        <v>705</v>
      </c>
      <c r="D105" s="36"/>
      <c r="E105" s="42"/>
      <c r="F105" s="42"/>
      <c r="G105" s="66"/>
      <c r="H105" s="108" t="s">
        <v>858</v>
      </c>
      <c r="I105" s="112"/>
      <c r="J105" s="40" t="s">
        <v>188</v>
      </c>
      <c r="K105" s="47" t="e">
        <f>#REF!</f>
        <v>#REF!</v>
      </c>
      <c r="L105" s="143" t="s">
        <v>713</v>
      </c>
      <c r="M105" s="20"/>
      <c r="N105" s="30"/>
      <c r="O105" s="41"/>
      <c r="P105" s="45"/>
      <c r="Q105" s="45" t="e">
        <f>K105</f>
        <v>#REF!</v>
      </c>
    </row>
    <row r="106" spans="1:22" s="46" customFormat="1" ht="15.6" x14ac:dyDescent="0.3">
      <c r="A106" s="94">
        <v>2</v>
      </c>
      <c r="B106" s="95">
        <v>4</v>
      </c>
      <c r="C106" s="95" t="s">
        <v>706</v>
      </c>
      <c r="D106" s="36"/>
      <c r="E106" s="42"/>
      <c r="F106" s="42"/>
      <c r="G106" s="66"/>
      <c r="H106" s="113" t="s">
        <v>859</v>
      </c>
      <c r="I106" s="124"/>
      <c r="J106" s="40" t="s">
        <v>188</v>
      </c>
      <c r="K106" s="47" t="e">
        <f>#REF!</f>
        <v>#REF!</v>
      </c>
      <c r="L106" s="40"/>
      <c r="M106" s="20"/>
      <c r="N106" s="30"/>
      <c r="O106" s="41"/>
      <c r="P106" s="45"/>
      <c r="Q106" s="45"/>
    </row>
    <row r="107" spans="1:22" s="46" customFormat="1" ht="31.2" x14ac:dyDescent="0.3">
      <c r="A107" s="94">
        <v>2</v>
      </c>
      <c r="B107" s="95">
        <v>4</v>
      </c>
      <c r="C107" s="95" t="s">
        <v>707</v>
      </c>
      <c r="D107" s="36"/>
      <c r="E107" s="42"/>
      <c r="F107" s="42"/>
      <c r="G107" s="66"/>
      <c r="H107" s="108" t="s">
        <v>860</v>
      </c>
      <c r="I107" s="112"/>
      <c r="J107" s="40" t="s">
        <v>188</v>
      </c>
      <c r="K107" s="47" t="e">
        <f>#REF!</f>
        <v>#REF!</v>
      </c>
      <c r="L107" s="40"/>
      <c r="M107" s="20"/>
      <c r="N107" s="30"/>
      <c r="O107" s="41"/>
      <c r="P107" s="45"/>
      <c r="Q107" s="45"/>
    </row>
    <row r="108" spans="1:22" s="46" customFormat="1" ht="15.6" x14ac:dyDescent="0.3">
      <c r="A108" s="94">
        <v>2</v>
      </c>
      <c r="B108" s="95">
        <v>4</v>
      </c>
      <c r="C108" s="95" t="s">
        <v>708</v>
      </c>
      <c r="D108" s="36"/>
      <c r="E108" s="42"/>
      <c r="F108" s="42"/>
      <c r="G108" s="66"/>
      <c r="H108" s="113" t="s">
        <v>861</v>
      </c>
      <c r="I108" s="124"/>
      <c r="J108" s="40" t="s">
        <v>188</v>
      </c>
      <c r="K108" s="47" t="e">
        <f>#REF!</f>
        <v>#REF!</v>
      </c>
      <c r="L108" s="40"/>
      <c r="M108" s="20"/>
      <c r="N108" s="30"/>
      <c r="O108" s="41"/>
      <c r="P108" s="45"/>
      <c r="Q108" s="45"/>
    </row>
    <row r="109" spans="1:22" s="46" customFormat="1" ht="31.2" x14ac:dyDescent="0.3">
      <c r="A109" s="94">
        <v>2</v>
      </c>
      <c r="B109" s="95">
        <v>4</v>
      </c>
      <c r="C109" s="95" t="s">
        <v>709</v>
      </c>
      <c r="D109" s="36"/>
      <c r="E109" s="42"/>
      <c r="F109" s="42"/>
      <c r="G109" s="66"/>
      <c r="H109" s="108" t="s">
        <v>862</v>
      </c>
      <c r="I109" s="112"/>
      <c r="J109" s="40" t="s">
        <v>188</v>
      </c>
      <c r="K109" s="47" t="e">
        <f>#REF!</f>
        <v>#REF!</v>
      </c>
      <c r="L109" s="40"/>
      <c r="M109" s="20"/>
      <c r="N109" s="30"/>
      <c r="O109" s="41"/>
      <c r="P109" s="45"/>
      <c r="Q109" s="45"/>
    </row>
    <row r="110" spans="1:22" s="46" customFormat="1" ht="15.6" x14ac:dyDescent="0.3">
      <c r="A110" s="94">
        <v>2</v>
      </c>
      <c r="B110" s="95">
        <v>4</v>
      </c>
      <c r="C110" s="95" t="s">
        <v>710</v>
      </c>
      <c r="D110" s="36"/>
      <c r="E110" s="42"/>
      <c r="F110" s="42"/>
      <c r="G110" s="66"/>
      <c r="H110" s="113" t="s">
        <v>863</v>
      </c>
      <c r="I110" s="124"/>
      <c r="J110" s="40" t="s">
        <v>188</v>
      </c>
      <c r="K110" s="47" t="e">
        <f>#REF!</f>
        <v>#REF!</v>
      </c>
      <c r="L110" s="40"/>
      <c r="M110" s="20"/>
      <c r="N110" s="30"/>
      <c r="O110" s="41"/>
      <c r="P110" s="45"/>
      <c r="Q110" s="45"/>
    </row>
    <row r="111" spans="1:22" s="46" customFormat="1" ht="31.2" x14ac:dyDescent="0.3">
      <c r="A111" s="94">
        <v>2</v>
      </c>
      <c r="B111" s="95">
        <v>4</v>
      </c>
      <c r="C111" s="95" t="s">
        <v>711</v>
      </c>
      <c r="D111" s="36"/>
      <c r="E111" s="42"/>
      <c r="F111" s="42"/>
      <c r="G111" s="66"/>
      <c r="H111" s="108" t="s">
        <v>864</v>
      </c>
      <c r="I111" s="112"/>
      <c r="J111" s="40" t="s">
        <v>188</v>
      </c>
      <c r="K111" s="38" t="e">
        <f>#REF!</f>
        <v>#REF!</v>
      </c>
      <c r="L111" s="40"/>
      <c r="M111" s="20"/>
      <c r="N111" s="30"/>
      <c r="O111" s="41"/>
      <c r="P111" s="45"/>
      <c r="Q111" s="45"/>
    </row>
    <row r="112" spans="1:22" s="46" customFormat="1" ht="31.2" x14ac:dyDescent="0.3">
      <c r="A112" s="94">
        <v>2</v>
      </c>
      <c r="B112" s="95">
        <v>4</v>
      </c>
      <c r="C112" s="95" t="s">
        <v>712</v>
      </c>
      <c r="D112" s="36"/>
      <c r="E112" s="42"/>
      <c r="F112" s="42"/>
      <c r="G112" s="66"/>
      <c r="H112" s="108" t="s">
        <v>865</v>
      </c>
      <c r="I112" s="124"/>
      <c r="J112" s="40" t="s">
        <v>188</v>
      </c>
      <c r="K112" s="38" t="e">
        <f>#REF!</f>
        <v>#REF!</v>
      </c>
      <c r="L112" s="40"/>
      <c r="M112" s="20"/>
      <c r="N112" s="30"/>
      <c r="O112" s="41"/>
      <c r="P112" s="45"/>
      <c r="Q112" s="45"/>
    </row>
    <row r="113" spans="1:17" s="46" customFormat="1" ht="15.6" x14ac:dyDescent="0.3">
      <c r="A113" s="94">
        <v>2</v>
      </c>
      <c r="B113" s="95">
        <v>4</v>
      </c>
      <c r="C113" s="95" t="s">
        <v>731</v>
      </c>
      <c r="D113" s="36"/>
      <c r="E113" s="42"/>
      <c r="F113" s="42"/>
      <c r="G113" s="66"/>
      <c r="H113" s="113" t="s">
        <v>866</v>
      </c>
      <c r="I113" s="124"/>
      <c r="J113" s="40" t="s">
        <v>188</v>
      </c>
      <c r="K113" s="38" t="e">
        <f>#REF!</f>
        <v>#REF!</v>
      </c>
      <c r="L113" s="40"/>
      <c r="M113" s="20"/>
      <c r="N113" s="30"/>
      <c r="O113" s="41"/>
      <c r="P113" s="45"/>
      <c r="Q113" s="45"/>
    </row>
    <row r="114" spans="1:17" s="46" customFormat="1" ht="15.6" x14ac:dyDescent="0.3">
      <c r="A114" s="94">
        <v>2</v>
      </c>
      <c r="B114" s="95">
        <v>4</v>
      </c>
      <c r="C114" s="95" t="s">
        <v>732</v>
      </c>
      <c r="D114" s="36"/>
      <c r="E114" s="42"/>
      <c r="F114" s="42"/>
      <c r="G114" s="66"/>
      <c r="H114" s="113" t="s">
        <v>867</v>
      </c>
      <c r="I114" s="124"/>
      <c r="J114" s="40" t="s">
        <v>188</v>
      </c>
      <c r="K114" s="38" t="e">
        <f>#REF!</f>
        <v>#REF!</v>
      </c>
      <c r="L114" s="40"/>
      <c r="M114" s="20"/>
      <c r="N114" s="30"/>
      <c r="O114" s="41"/>
      <c r="P114" s="45"/>
      <c r="Q114" s="45"/>
    </row>
    <row r="115" spans="1:17" s="46" customFormat="1" ht="31.2" x14ac:dyDescent="0.3">
      <c r="A115" s="94">
        <v>2</v>
      </c>
      <c r="B115" s="95">
        <v>4</v>
      </c>
      <c r="C115" s="95" t="s">
        <v>733</v>
      </c>
      <c r="D115" s="42"/>
      <c r="E115" s="42"/>
      <c r="F115" s="42"/>
      <c r="G115" s="66"/>
      <c r="H115" s="108" t="s">
        <v>868</v>
      </c>
      <c r="I115" s="112"/>
      <c r="J115" s="40" t="s">
        <v>188</v>
      </c>
      <c r="K115" s="47" t="e">
        <f>#REF!</f>
        <v>#REF!</v>
      </c>
      <c r="L115" s="40"/>
      <c r="M115" s="20"/>
      <c r="N115" s="30"/>
      <c r="O115" s="41"/>
      <c r="P115" s="45"/>
      <c r="Q115" s="45"/>
    </row>
    <row r="116" spans="1:17" s="46" customFormat="1" ht="31.2" x14ac:dyDescent="0.3">
      <c r="A116" s="94">
        <v>2</v>
      </c>
      <c r="B116" s="95">
        <v>4</v>
      </c>
      <c r="C116" s="95" t="s">
        <v>734</v>
      </c>
      <c r="D116" s="42"/>
      <c r="E116" s="42"/>
      <c r="F116" s="42"/>
      <c r="G116" s="66"/>
      <c r="H116" s="108" t="s">
        <v>869</v>
      </c>
      <c r="I116" s="112"/>
      <c r="J116" s="40" t="s">
        <v>188</v>
      </c>
      <c r="K116" s="47" t="e">
        <f>#REF!</f>
        <v>#REF!</v>
      </c>
      <c r="L116" s="40"/>
      <c r="M116" s="20"/>
      <c r="N116" s="30"/>
      <c r="O116" s="41"/>
      <c r="P116" s="45"/>
      <c r="Q116" s="45"/>
    </row>
    <row r="117" spans="1:17" s="46" customFormat="1" ht="31.2" x14ac:dyDescent="0.3">
      <c r="A117" s="94">
        <v>2</v>
      </c>
      <c r="B117" s="95">
        <v>4</v>
      </c>
      <c r="C117" s="95" t="s">
        <v>842</v>
      </c>
      <c r="D117" s="42"/>
      <c r="E117" s="42"/>
      <c r="F117" s="42"/>
      <c r="G117" s="66"/>
      <c r="H117" s="108" t="s">
        <v>870</v>
      </c>
      <c r="I117" s="112"/>
      <c r="J117" s="40" t="s">
        <v>188</v>
      </c>
      <c r="K117" s="47" t="e">
        <f>#REF!</f>
        <v>#REF!</v>
      </c>
      <c r="L117" s="40"/>
      <c r="M117" s="20"/>
      <c r="N117" s="30"/>
      <c r="O117" s="41"/>
      <c r="P117" s="45"/>
      <c r="Q117" s="45"/>
    </row>
    <row r="118" spans="1:17" s="46" customFormat="1" ht="31.2" x14ac:dyDescent="0.3">
      <c r="A118" s="94">
        <v>2</v>
      </c>
      <c r="B118" s="95">
        <v>4</v>
      </c>
      <c r="C118" s="95" t="s">
        <v>844</v>
      </c>
      <c r="D118" s="42"/>
      <c r="E118" s="42"/>
      <c r="F118" s="42"/>
      <c r="G118" s="66"/>
      <c r="H118" s="108" t="s">
        <v>871</v>
      </c>
      <c r="I118" s="109"/>
      <c r="J118" s="40" t="s">
        <v>188</v>
      </c>
      <c r="K118" s="47" t="e">
        <f>#REF!</f>
        <v>#REF!</v>
      </c>
      <c r="L118" s="40"/>
      <c r="M118" s="20"/>
      <c r="N118" s="30"/>
      <c r="O118" s="41"/>
      <c r="P118" s="45"/>
      <c r="Q118" s="45"/>
    </row>
    <row r="119" spans="1:17" s="46" customFormat="1" ht="31.2" x14ac:dyDescent="0.3">
      <c r="A119" s="94">
        <v>2</v>
      </c>
      <c r="B119" s="95">
        <v>4</v>
      </c>
      <c r="C119" s="95" t="s">
        <v>846</v>
      </c>
      <c r="D119" s="42"/>
      <c r="E119" s="42"/>
      <c r="F119" s="42"/>
      <c r="G119" s="66"/>
      <c r="H119" s="108" t="s">
        <v>872</v>
      </c>
      <c r="I119" s="112"/>
      <c r="J119" s="40" t="s">
        <v>188</v>
      </c>
      <c r="K119" s="47" t="e">
        <f>#REF!</f>
        <v>#REF!</v>
      </c>
      <c r="L119" s="40"/>
      <c r="M119" s="20"/>
      <c r="N119" s="30"/>
      <c r="O119" s="41"/>
      <c r="P119" s="45"/>
      <c r="Q119" s="45"/>
    </row>
    <row r="120" spans="1:17" s="46" customFormat="1" ht="31.2" x14ac:dyDescent="0.3">
      <c r="A120" s="94">
        <v>2</v>
      </c>
      <c r="B120" s="95">
        <v>4</v>
      </c>
      <c r="C120" s="95" t="s">
        <v>848</v>
      </c>
      <c r="D120" s="42"/>
      <c r="E120" s="42"/>
      <c r="F120" s="42"/>
      <c r="G120" s="66"/>
      <c r="H120" s="108" t="s">
        <v>873</v>
      </c>
      <c r="I120" s="112"/>
      <c r="J120" s="40" t="s">
        <v>188</v>
      </c>
      <c r="K120" s="47" t="e">
        <f>#REF!</f>
        <v>#REF!</v>
      </c>
      <c r="L120" s="40"/>
      <c r="M120" s="20"/>
      <c r="N120" s="30"/>
      <c r="O120" s="41"/>
      <c r="P120" s="45"/>
      <c r="Q120" s="45"/>
    </row>
    <row r="121" spans="1:17" s="151" customFormat="1" ht="31.2" x14ac:dyDescent="0.3">
      <c r="A121" s="148">
        <v>2</v>
      </c>
      <c r="B121" s="149">
        <v>4</v>
      </c>
      <c r="C121" s="149" t="s">
        <v>851</v>
      </c>
      <c r="D121" s="42"/>
      <c r="E121" s="42"/>
      <c r="F121" s="42"/>
      <c r="G121" s="66"/>
      <c r="H121" s="108" t="s">
        <v>874</v>
      </c>
      <c r="I121" s="112"/>
      <c r="J121" s="40" t="s">
        <v>188</v>
      </c>
      <c r="K121" s="47" t="e">
        <f>#REF!</f>
        <v>#REF!</v>
      </c>
      <c r="L121" s="40"/>
      <c r="M121" s="20"/>
      <c r="N121" s="30"/>
      <c r="O121" s="41"/>
      <c r="P121" s="150"/>
      <c r="Q121" s="150"/>
    </row>
    <row r="122" spans="1:17" s="147" customFormat="1" ht="15.6" x14ac:dyDescent="0.3">
      <c r="A122" s="36">
        <v>2</v>
      </c>
      <c r="B122" s="76">
        <v>5</v>
      </c>
      <c r="C122" s="93"/>
      <c r="D122" s="36"/>
      <c r="E122" s="93"/>
      <c r="F122" s="93"/>
      <c r="G122" s="144"/>
      <c r="H122" s="152" t="s">
        <v>875</v>
      </c>
      <c r="I122" s="153"/>
      <c r="J122" s="145"/>
      <c r="K122" s="38" t="e">
        <f>K123+K124+K125</f>
        <v>#REF!</v>
      </c>
      <c r="L122" s="145"/>
      <c r="M122" s="20"/>
      <c r="N122" s="30"/>
      <c r="O122" s="41"/>
      <c r="P122" s="146"/>
      <c r="Q122" s="146"/>
    </row>
    <row r="123" spans="1:17" s="157" customFormat="1" ht="15.6" x14ac:dyDescent="0.3">
      <c r="A123" s="42">
        <v>2</v>
      </c>
      <c r="B123" s="65">
        <v>5</v>
      </c>
      <c r="C123" s="95" t="s">
        <v>705</v>
      </c>
      <c r="D123" s="42"/>
      <c r="E123" s="95"/>
      <c r="F123" s="95"/>
      <c r="G123" s="154"/>
      <c r="H123" s="113" t="s">
        <v>876</v>
      </c>
      <c r="I123" s="109"/>
      <c r="J123" s="155" t="s">
        <v>188</v>
      </c>
      <c r="K123" s="47" t="e">
        <f>#REF!+#REF!</f>
        <v>#REF!</v>
      </c>
      <c r="L123" s="155"/>
      <c r="M123" s="20"/>
      <c r="N123" s="30"/>
      <c r="O123" s="41"/>
      <c r="P123" s="156"/>
      <c r="Q123" s="156"/>
    </row>
    <row r="124" spans="1:17" s="157" customFormat="1" ht="15.6" x14ac:dyDescent="0.3">
      <c r="A124" s="42">
        <v>2</v>
      </c>
      <c r="B124" s="65">
        <v>5</v>
      </c>
      <c r="C124" s="95" t="s">
        <v>706</v>
      </c>
      <c r="D124" s="42"/>
      <c r="E124" s="95"/>
      <c r="F124" s="95"/>
      <c r="G124" s="154"/>
      <c r="H124" s="113" t="s">
        <v>877</v>
      </c>
      <c r="I124" s="109"/>
      <c r="J124" s="155" t="s">
        <v>188</v>
      </c>
      <c r="K124" s="47" t="e">
        <f>#REF!</f>
        <v>#REF!</v>
      </c>
      <c r="L124" s="155"/>
      <c r="M124" s="20"/>
      <c r="N124" s="30"/>
      <c r="O124" s="41"/>
      <c r="P124" s="156"/>
      <c r="Q124" s="156"/>
    </row>
    <row r="125" spans="1:17" s="157" customFormat="1" ht="31.2" x14ac:dyDescent="0.3">
      <c r="A125" s="42">
        <v>2</v>
      </c>
      <c r="B125" s="65">
        <v>5</v>
      </c>
      <c r="C125" s="95" t="s">
        <v>707</v>
      </c>
      <c r="D125" s="42"/>
      <c r="E125" s="95"/>
      <c r="F125" s="95"/>
      <c r="G125" s="154"/>
      <c r="H125" s="108" t="s">
        <v>878</v>
      </c>
      <c r="I125" s="112"/>
      <c r="J125" s="155" t="s">
        <v>97</v>
      </c>
      <c r="K125" s="47" t="e">
        <f>#REF!</f>
        <v>#REF!</v>
      </c>
      <c r="L125" s="155"/>
      <c r="M125" s="20"/>
      <c r="N125" s="30"/>
      <c r="O125" s="41"/>
      <c r="P125" s="156"/>
      <c r="Q125" s="156"/>
    </row>
    <row r="126" spans="1:17" s="147" customFormat="1" ht="15.6" x14ac:dyDescent="0.3">
      <c r="A126" s="36">
        <v>2</v>
      </c>
      <c r="B126" s="76">
        <v>6</v>
      </c>
      <c r="C126" s="93"/>
      <c r="D126" s="36"/>
      <c r="E126" s="93"/>
      <c r="F126" s="93"/>
      <c r="G126" s="144"/>
      <c r="H126" s="152" t="s">
        <v>879</v>
      </c>
      <c r="I126" s="153"/>
      <c r="J126" s="145"/>
      <c r="K126" s="38" t="e">
        <f>K127+K128+K129</f>
        <v>#REF!</v>
      </c>
      <c r="L126" s="37" t="s">
        <v>880</v>
      </c>
      <c r="M126" s="20"/>
      <c r="N126" s="30"/>
      <c r="O126" s="41"/>
      <c r="P126" s="146"/>
      <c r="Q126" s="146"/>
    </row>
    <row r="127" spans="1:17" s="157" customFormat="1" ht="15.6" x14ac:dyDescent="0.3">
      <c r="A127" s="42">
        <v>2</v>
      </c>
      <c r="B127" s="65">
        <v>6</v>
      </c>
      <c r="C127" s="95" t="s">
        <v>705</v>
      </c>
      <c r="D127" s="36"/>
      <c r="E127" s="95"/>
      <c r="F127" s="95"/>
      <c r="G127" s="154"/>
      <c r="H127" s="113" t="s">
        <v>881</v>
      </c>
      <c r="I127" s="109"/>
      <c r="J127" s="155" t="s">
        <v>188</v>
      </c>
      <c r="K127" s="47" t="e">
        <f>#REF!</f>
        <v>#REF!</v>
      </c>
      <c r="L127" s="155"/>
      <c r="M127" s="20"/>
      <c r="N127" s="30"/>
      <c r="O127" s="41"/>
      <c r="P127" s="156"/>
      <c r="Q127" s="156"/>
    </row>
    <row r="128" spans="1:17" s="157" customFormat="1" ht="31.2" x14ac:dyDescent="0.3">
      <c r="A128" s="42">
        <v>2</v>
      </c>
      <c r="B128" s="65">
        <v>6</v>
      </c>
      <c r="C128" s="95" t="s">
        <v>706</v>
      </c>
      <c r="D128" s="42"/>
      <c r="E128" s="95"/>
      <c r="F128" s="95"/>
      <c r="G128" s="154"/>
      <c r="H128" s="108" t="s">
        <v>882</v>
      </c>
      <c r="I128" s="112"/>
      <c r="J128" s="155" t="s">
        <v>188</v>
      </c>
      <c r="K128" s="47" t="e">
        <f>#REF!</f>
        <v>#REF!</v>
      </c>
      <c r="L128" s="37" t="s">
        <v>880</v>
      </c>
      <c r="M128" s="20"/>
      <c r="N128" s="30"/>
      <c r="O128" s="41"/>
      <c r="P128" s="156"/>
      <c r="Q128" s="156"/>
    </row>
    <row r="129" spans="1:25" s="157" customFormat="1" ht="31.2" x14ac:dyDescent="0.3">
      <c r="A129" s="42">
        <v>2</v>
      </c>
      <c r="B129" s="65">
        <v>6</v>
      </c>
      <c r="C129" s="95" t="s">
        <v>707</v>
      </c>
      <c r="D129" s="42"/>
      <c r="E129" s="95"/>
      <c r="F129" s="95"/>
      <c r="G129" s="154"/>
      <c r="H129" s="108" t="s">
        <v>883</v>
      </c>
      <c r="I129" s="112"/>
      <c r="J129" s="155" t="s">
        <v>758</v>
      </c>
      <c r="K129" s="47" t="e">
        <f>#REF!+#REF!</f>
        <v>#REF!</v>
      </c>
      <c r="L129" s="155" t="s">
        <v>713</v>
      </c>
      <c r="M129" s="20"/>
      <c r="N129" s="30"/>
      <c r="O129" s="41"/>
      <c r="P129" s="156"/>
      <c r="Q129" s="156" t="e">
        <f>K129</f>
        <v>#REF!</v>
      </c>
    </row>
    <row r="130" spans="1:25" s="12" customFormat="1" ht="15.6" x14ac:dyDescent="0.3">
      <c r="A130" s="132">
        <v>2</v>
      </c>
      <c r="B130" s="93">
        <v>7</v>
      </c>
      <c r="C130" s="93"/>
      <c r="D130" s="36"/>
      <c r="E130" s="36"/>
      <c r="F130" s="36"/>
      <c r="G130" s="39"/>
      <c r="H130" s="134" t="s">
        <v>884</v>
      </c>
      <c r="I130" s="153"/>
      <c r="J130" s="37"/>
      <c r="K130" s="38" t="e">
        <f>K131+K132</f>
        <v>#REF!</v>
      </c>
      <c r="L130" s="37" t="s">
        <v>713</v>
      </c>
      <c r="M130" s="20"/>
      <c r="N130" s="30"/>
      <c r="O130" s="41"/>
      <c r="P130" s="16"/>
      <c r="Q130" s="16"/>
    </row>
    <row r="131" spans="1:25" s="46" customFormat="1" ht="15.6" x14ac:dyDescent="0.3">
      <c r="A131" s="94">
        <v>2</v>
      </c>
      <c r="B131" s="95">
        <v>7</v>
      </c>
      <c r="C131" s="95" t="s">
        <v>705</v>
      </c>
      <c r="D131" s="36"/>
      <c r="E131" s="42"/>
      <c r="F131" s="42"/>
      <c r="G131" s="66"/>
      <c r="H131" s="113" t="s">
        <v>885</v>
      </c>
      <c r="I131" s="109"/>
      <c r="J131" s="40" t="s">
        <v>188</v>
      </c>
      <c r="K131" s="47" t="e">
        <f>#REF!</f>
        <v>#REF!</v>
      </c>
      <c r="L131" s="40"/>
      <c r="M131" s="20"/>
      <c r="N131" s="30"/>
      <c r="O131" s="41"/>
      <c r="P131" s="45"/>
      <c r="Q131" s="45"/>
    </row>
    <row r="132" spans="1:25" s="46" customFormat="1" ht="31.2" x14ac:dyDescent="0.3">
      <c r="A132" s="94">
        <v>2</v>
      </c>
      <c r="B132" s="95">
        <v>7</v>
      </c>
      <c r="C132" s="95" t="s">
        <v>706</v>
      </c>
      <c r="D132" s="36"/>
      <c r="E132" s="42"/>
      <c r="F132" s="42"/>
      <c r="G132" s="66"/>
      <c r="H132" s="108" t="s">
        <v>886</v>
      </c>
      <c r="I132" s="112"/>
      <c r="J132" s="40" t="s">
        <v>188</v>
      </c>
      <c r="K132" s="47" t="e">
        <f>#REF!</f>
        <v>#REF!</v>
      </c>
      <c r="L132" s="37" t="s">
        <v>713</v>
      </c>
      <c r="M132" s="20"/>
      <c r="N132" s="30"/>
      <c r="O132" s="41"/>
      <c r="P132" s="45"/>
      <c r="Q132" s="45"/>
    </row>
    <row r="133" spans="1:25" s="12" customFormat="1" ht="15.6" x14ac:dyDescent="0.3">
      <c r="A133" s="21">
        <v>2</v>
      </c>
      <c r="B133" s="131">
        <v>8</v>
      </c>
      <c r="C133" s="93"/>
      <c r="D133" s="36"/>
      <c r="E133" s="36"/>
      <c r="F133" s="36"/>
      <c r="G133" s="39"/>
      <c r="H133" s="152" t="s">
        <v>887</v>
      </c>
      <c r="I133" s="153"/>
      <c r="J133" s="37"/>
      <c r="K133" s="38" t="e">
        <f>K134+K135+K136</f>
        <v>#REF!</v>
      </c>
      <c r="L133" s="37"/>
      <c r="M133" s="20"/>
      <c r="N133" s="30"/>
      <c r="O133" s="41"/>
      <c r="P133" s="16"/>
      <c r="Q133" s="16"/>
    </row>
    <row r="134" spans="1:25" s="46" customFormat="1" ht="15.6" x14ac:dyDescent="0.3">
      <c r="A134" s="42">
        <v>2</v>
      </c>
      <c r="B134" s="65">
        <v>8</v>
      </c>
      <c r="C134" s="95" t="s">
        <v>705</v>
      </c>
      <c r="D134" s="42"/>
      <c r="E134" s="42"/>
      <c r="F134" s="42"/>
      <c r="G134" s="66"/>
      <c r="H134" s="113" t="s">
        <v>888</v>
      </c>
      <c r="I134" s="109"/>
      <c r="J134" s="40" t="s">
        <v>188</v>
      </c>
      <c r="K134" s="47" t="e">
        <f>#REF!</f>
        <v>#REF!</v>
      </c>
      <c r="L134" s="40"/>
      <c r="M134" s="20"/>
      <c r="N134" s="30"/>
      <c r="O134" s="41"/>
      <c r="P134" s="45"/>
      <c r="Q134" s="45"/>
    </row>
    <row r="135" spans="1:25" s="46" customFormat="1" ht="30.75" customHeight="1" x14ac:dyDescent="0.3">
      <c r="A135" s="42">
        <v>2</v>
      </c>
      <c r="B135" s="65">
        <v>8</v>
      </c>
      <c r="C135" s="95" t="s">
        <v>706</v>
      </c>
      <c r="D135" s="42"/>
      <c r="E135" s="42"/>
      <c r="F135" s="42"/>
      <c r="G135" s="66"/>
      <c r="H135" s="97" t="s">
        <v>889</v>
      </c>
      <c r="I135" s="114"/>
      <c r="J135" s="40" t="s">
        <v>188</v>
      </c>
      <c r="K135" s="47" t="e">
        <f>#REF!</f>
        <v>#REF!</v>
      </c>
      <c r="L135" s="40"/>
      <c r="M135" s="20"/>
      <c r="N135" s="30"/>
      <c r="O135" s="41"/>
      <c r="P135" s="45"/>
      <c r="Q135" s="45"/>
    </row>
    <row r="136" spans="1:25" s="46" customFormat="1" ht="15.6" x14ac:dyDescent="0.3">
      <c r="A136" s="42">
        <v>2</v>
      </c>
      <c r="B136" s="65">
        <v>8</v>
      </c>
      <c r="C136" s="95" t="s">
        <v>707</v>
      </c>
      <c r="D136" s="42"/>
      <c r="E136" s="42"/>
      <c r="F136" s="42"/>
      <c r="G136" s="66"/>
      <c r="H136" s="113" t="s">
        <v>890</v>
      </c>
      <c r="I136" s="109"/>
      <c r="J136" s="40" t="s">
        <v>188</v>
      </c>
      <c r="K136" s="47" t="e">
        <f>#REF!</f>
        <v>#REF!</v>
      </c>
      <c r="L136" s="40"/>
      <c r="M136" s="20"/>
      <c r="N136" s="30"/>
      <c r="O136" s="41"/>
      <c r="P136" s="45"/>
      <c r="Q136" s="45"/>
    </row>
    <row r="137" spans="1:25" s="27" customFormat="1" ht="15.6" x14ac:dyDescent="0.3">
      <c r="A137" s="21">
        <v>3</v>
      </c>
      <c r="B137" s="131"/>
      <c r="C137" s="131"/>
      <c r="D137" s="36"/>
      <c r="E137" s="21"/>
      <c r="F137" s="21"/>
      <c r="G137" s="23"/>
      <c r="H137" s="22" t="s">
        <v>891</v>
      </c>
      <c r="I137" s="129"/>
      <c r="J137" s="22"/>
      <c r="K137" s="24" t="e">
        <f>K138+K146+K152+K159</f>
        <v>#REF!</v>
      </c>
      <c r="L137" s="22" t="s">
        <v>892</v>
      </c>
      <c r="M137" s="20"/>
      <c r="N137" s="30"/>
      <c r="O137" s="41"/>
      <c r="P137" s="26"/>
      <c r="Q137" s="26"/>
    </row>
    <row r="138" spans="1:25" s="35" customFormat="1" ht="15.6" x14ac:dyDescent="0.3">
      <c r="A138" s="31">
        <v>3</v>
      </c>
      <c r="B138" s="51">
        <v>1</v>
      </c>
      <c r="C138" s="51"/>
      <c r="D138" s="36"/>
      <c r="E138" s="31"/>
      <c r="F138" s="31"/>
      <c r="G138" s="32"/>
      <c r="H138" s="29" t="s">
        <v>893</v>
      </c>
      <c r="I138" s="158"/>
      <c r="J138" s="29"/>
      <c r="K138" s="33" t="e">
        <f>K139+K140+K141+K142+K143+K144+K145</f>
        <v>#REF!</v>
      </c>
      <c r="L138" s="29" t="s">
        <v>894</v>
      </c>
      <c r="M138" s="20"/>
      <c r="N138" s="30"/>
      <c r="O138" s="41"/>
      <c r="P138" s="34"/>
      <c r="Q138" s="34"/>
    </row>
    <row r="139" spans="1:25" s="46" customFormat="1" ht="31.2" x14ac:dyDescent="0.3">
      <c r="A139" s="94">
        <v>3</v>
      </c>
      <c r="B139" s="95">
        <v>1</v>
      </c>
      <c r="C139" s="95" t="s">
        <v>705</v>
      </c>
      <c r="D139" s="42"/>
      <c r="E139" s="42"/>
      <c r="F139" s="42"/>
      <c r="G139" s="66"/>
      <c r="H139" s="159" t="s">
        <v>895</v>
      </c>
      <c r="I139" s="124"/>
      <c r="J139" s="40" t="s">
        <v>188</v>
      </c>
      <c r="K139" s="47" t="e">
        <f>#REF!+#REF!</f>
        <v>#REF!</v>
      </c>
      <c r="L139" s="37" t="s">
        <v>755</v>
      </c>
      <c r="M139" s="20"/>
      <c r="N139" s="30"/>
      <c r="O139" s="41"/>
      <c r="P139" s="45"/>
      <c r="Q139" s="45"/>
    </row>
    <row r="140" spans="1:25" s="46" customFormat="1" ht="31.2" x14ac:dyDescent="0.3">
      <c r="A140" s="94">
        <v>3</v>
      </c>
      <c r="B140" s="95">
        <v>1</v>
      </c>
      <c r="C140" s="95" t="s">
        <v>706</v>
      </c>
      <c r="D140" s="42">
        <v>5</v>
      </c>
      <c r="E140" s="42"/>
      <c r="F140" s="42"/>
      <c r="G140" s="66"/>
      <c r="H140" s="108" t="s">
        <v>896</v>
      </c>
      <c r="I140" s="112"/>
      <c r="J140" s="40" t="s">
        <v>188</v>
      </c>
      <c r="K140" s="47" t="e">
        <f>#REF!</f>
        <v>#REF!</v>
      </c>
      <c r="L140" s="40" t="s">
        <v>8</v>
      </c>
      <c r="M140" s="20"/>
      <c r="N140" s="30"/>
      <c r="O140" s="41"/>
      <c r="P140" s="45"/>
      <c r="Q140" s="45"/>
    </row>
    <row r="141" spans="1:25" s="46" customFormat="1" ht="46.8" x14ac:dyDescent="0.3">
      <c r="A141" s="94">
        <v>3</v>
      </c>
      <c r="B141" s="95">
        <v>1</v>
      </c>
      <c r="C141" s="95" t="s">
        <v>707</v>
      </c>
      <c r="D141" s="42"/>
      <c r="E141" s="42"/>
      <c r="F141" s="42"/>
      <c r="G141" s="66"/>
      <c r="H141" s="108" t="s">
        <v>897</v>
      </c>
      <c r="I141" s="112"/>
      <c r="J141" s="40" t="s">
        <v>97</v>
      </c>
      <c r="K141" s="47" t="e">
        <f>#REF!</f>
        <v>#REF!</v>
      </c>
      <c r="L141" s="40"/>
      <c r="M141" s="20"/>
      <c r="N141" s="30"/>
      <c r="O141" s="41"/>
      <c r="P141" s="45"/>
      <c r="Q141" s="45"/>
    </row>
    <row r="142" spans="1:25" s="46" customFormat="1" ht="15.6" x14ac:dyDescent="0.3">
      <c r="A142" s="94">
        <v>3</v>
      </c>
      <c r="B142" s="95">
        <v>1</v>
      </c>
      <c r="C142" s="95" t="s">
        <v>708</v>
      </c>
      <c r="D142" s="42"/>
      <c r="E142" s="42"/>
      <c r="F142" s="42"/>
      <c r="G142" s="66"/>
      <c r="H142" s="113" t="s">
        <v>898</v>
      </c>
      <c r="I142" s="109"/>
      <c r="J142" s="40" t="s">
        <v>97</v>
      </c>
      <c r="K142" s="47" t="e">
        <f>#REF!</f>
        <v>#REF!</v>
      </c>
      <c r="L142" s="40"/>
      <c r="M142" s="20"/>
      <c r="N142" s="30"/>
      <c r="O142" s="41"/>
      <c r="P142" s="45"/>
      <c r="Q142" s="45"/>
    </row>
    <row r="143" spans="1:25" s="46" customFormat="1" ht="31.2" x14ac:dyDescent="0.3">
      <c r="A143" s="94">
        <v>3</v>
      </c>
      <c r="B143" s="95">
        <v>1</v>
      </c>
      <c r="C143" s="95" t="s">
        <v>709</v>
      </c>
      <c r="D143" s="42"/>
      <c r="E143" s="42"/>
      <c r="F143" s="42"/>
      <c r="G143" s="66"/>
      <c r="H143" s="108" t="s">
        <v>899</v>
      </c>
      <c r="I143" s="109"/>
      <c r="J143" s="40" t="s">
        <v>188</v>
      </c>
      <c r="K143" s="47" t="e">
        <f>#REF!+#REF!</f>
        <v>#REF!</v>
      </c>
      <c r="L143" s="37" t="s">
        <v>730</v>
      </c>
      <c r="M143" s="20"/>
      <c r="N143" s="30"/>
      <c r="O143" s="41"/>
      <c r="P143" s="45"/>
      <c r="Q143" s="45"/>
      <c r="Y143" s="139" t="e">
        <f>K143</f>
        <v>#REF!</v>
      </c>
    </row>
    <row r="144" spans="1:25" s="46" customFormat="1" ht="15.6" x14ac:dyDescent="0.3">
      <c r="A144" s="132">
        <v>3</v>
      </c>
      <c r="B144" s="93">
        <v>1</v>
      </c>
      <c r="C144" s="95" t="s">
        <v>710</v>
      </c>
      <c r="D144" s="42"/>
      <c r="E144" s="42"/>
      <c r="F144" s="42"/>
      <c r="G144" s="66"/>
      <c r="H144" s="113" t="s">
        <v>900</v>
      </c>
      <c r="I144" s="109"/>
      <c r="J144" s="40" t="s">
        <v>188</v>
      </c>
      <c r="K144" s="47" t="e">
        <f>#REF!</f>
        <v>#REF!</v>
      </c>
      <c r="L144" s="40"/>
      <c r="M144" s="20"/>
      <c r="N144" s="30"/>
      <c r="O144" s="41"/>
      <c r="P144" s="45"/>
      <c r="Q144" s="45"/>
    </row>
    <row r="145" spans="1:18" s="46" customFormat="1" ht="31.2" x14ac:dyDescent="0.3">
      <c r="A145" s="94">
        <v>3</v>
      </c>
      <c r="B145" s="95">
        <v>1</v>
      </c>
      <c r="C145" s="95" t="s">
        <v>711</v>
      </c>
      <c r="D145" s="42"/>
      <c r="E145" s="42"/>
      <c r="F145" s="42"/>
      <c r="G145" s="66"/>
      <c r="H145" s="108" t="s">
        <v>901</v>
      </c>
      <c r="I145" s="112"/>
      <c r="J145" s="40" t="s">
        <v>97</v>
      </c>
      <c r="K145" s="47" t="e">
        <f>#REF!</f>
        <v>#REF!</v>
      </c>
      <c r="L145" s="40" t="s">
        <v>713</v>
      </c>
      <c r="M145" s="20"/>
      <c r="N145" s="30"/>
      <c r="O145" s="41"/>
      <c r="P145" s="45"/>
      <c r="Q145" s="45" t="e">
        <f>K145</f>
        <v>#REF!</v>
      </c>
    </row>
    <row r="146" spans="1:18" s="12" customFormat="1" ht="15.6" x14ac:dyDescent="0.3">
      <c r="A146" s="36">
        <v>3</v>
      </c>
      <c r="B146" s="76">
        <v>2</v>
      </c>
      <c r="C146" s="93"/>
      <c r="D146" s="36"/>
      <c r="E146" s="36"/>
      <c r="F146" s="36"/>
      <c r="G146" s="39"/>
      <c r="H146" s="160" t="s">
        <v>902</v>
      </c>
      <c r="I146" s="110"/>
      <c r="J146" s="37"/>
      <c r="K146" s="38" t="e">
        <f>K147+K148+K149+K150+K151</f>
        <v>#REF!</v>
      </c>
      <c r="L146" s="37" t="s">
        <v>903</v>
      </c>
      <c r="M146" s="20"/>
      <c r="N146" s="30"/>
      <c r="O146" s="41"/>
      <c r="P146" s="16"/>
      <c r="Q146" s="16"/>
    </row>
    <row r="147" spans="1:18" s="46" customFormat="1" ht="15.6" x14ac:dyDescent="0.3">
      <c r="A147" s="42">
        <v>3</v>
      </c>
      <c r="B147" s="65">
        <v>2</v>
      </c>
      <c r="C147" s="95" t="s">
        <v>705</v>
      </c>
      <c r="D147" s="42"/>
      <c r="E147" s="42"/>
      <c r="F147" s="42"/>
      <c r="G147" s="66"/>
      <c r="H147" s="113" t="s">
        <v>904</v>
      </c>
      <c r="I147" s="109"/>
      <c r="J147" s="40" t="s">
        <v>905</v>
      </c>
      <c r="K147" s="47" t="e">
        <f>#REF!</f>
        <v>#REF!</v>
      </c>
      <c r="L147" s="40" t="s">
        <v>8</v>
      </c>
      <c r="M147" s="20"/>
      <c r="N147" s="30"/>
      <c r="O147" s="41"/>
      <c r="P147" s="45"/>
      <c r="Q147" s="45"/>
    </row>
    <row r="148" spans="1:18" s="46" customFormat="1" ht="31.2" x14ac:dyDescent="0.3">
      <c r="A148" s="42">
        <v>3</v>
      </c>
      <c r="B148" s="65">
        <v>2</v>
      </c>
      <c r="C148" s="95" t="s">
        <v>706</v>
      </c>
      <c r="D148" s="42"/>
      <c r="E148" s="42"/>
      <c r="F148" s="42"/>
      <c r="G148" s="66"/>
      <c r="H148" s="108" t="s">
        <v>906</v>
      </c>
      <c r="I148" s="112"/>
      <c r="J148" s="40" t="s">
        <v>188</v>
      </c>
      <c r="K148" s="47" t="e">
        <f>#REF!</f>
        <v>#REF!</v>
      </c>
      <c r="L148" s="40"/>
      <c r="M148" s="20"/>
      <c r="N148" s="30"/>
      <c r="O148" s="41"/>
      <c r="P148" s="45"/>
      <c r="Q148" s="45"/>
    </row>
    <row r="149" spans="1:18" s="46" customFormat="1" ht="49.5" customHeight="1" x14ac:dyDescent="0.3">
      <c r="A149" s="42">
        <v>3</v>
      </c>
      <c r="B149" s="65">
        <v>2</v>
      </c>
      <c r="C149" s="95" t="s">
        <v>707</v>
      </c>
      <c r="D149" s="42"/>
      <c r="E149" s="42"/>
      <c r="F149" s="42"/>
      <c r="G149" s="66"/>
      <c r="H149" s="108" t="s">
        <v>907</v>
      </c>
      <c r="I149" s="138" t="s">
        <v>908</v>
      </c>
      <c r="J149" s="40" t="s">
        <v>909</v>
      </c>
      <c r="K149" s="47" t="e">
        <f>#REF!</f>
        <v>#REF!</v>
      </c>
      <c r="L149" s="40" t="s">
        <v>910</v>
      </c>
      <c r="M149" s="20"/>
      <c r="N149" s="30"/>
      <c r="O149" s="41"/>
      <c r="P149" s="45"/>
      <c r="Q149" s="45"/>
    </row>
    <row r="150" spans="1:18" s="46" customFormat="1" ht="31.2" x14ac:dyDescent="0.3">
      <c r="A150" s="42">
        <v>3</v>
      </c>
      <c r="B150" s="65">
        <v>2</v>
      </c>
      <c r="C150" s="95" t="s">
        <v>708</v>
      </c>
      <c r="D150" s="42"/>
      <c r="E150" s="42"/>
      <c r="F150" s="42"/>
      <c r="G150" s="66"/>
      <c r="H150" s="108" t="s">
        <v>911</v>
      </c>
      <c r="I150" s="112"/>
      <c r="J150" s="40" t="s">
        <v>188</v>
      </c>
      <c r="K150" s="47" t="e">
        <f>#REF!</f>
        <v>#REF!</v>
      </c>
      <c r="L150" s="40" t="s">
        <v>77</v>
      </c>
      <c r="M150" s="20"/>
      <c r="N150" s="30"/>
      <c r="O150" s="41"/>
      <c r="P150" s="45"/>
      <c r="Q150" s="45"/>
      <c r="R150" s="139"/>
    </row>
    <row r="151" spans="1:18" s="46" customFormat="1" ht="31.2" x14ac:dyDescent="0.3">
      <c r="A151" s="42">
        <v>3</v>
      </c>
      <c r="B151" s="65">
        <v>2</v>
      </c>
      <c r="C151" s="95" t="s">
        <v>709</v>
      </c>
      <c r="D151" s="42"/>
      <c r="E151" s="42"/>
      <c r="F151" s="42"/>
      <c r="G151" s="66"/>
      <c r="H151" s="108" t="s">
        <v>912</v>
      </c>
      <c r="I151" s="112"/>
      <c r="J151" s="40" t="s">
        <v>188</v>
      </c>
      <c r="K151" s="47" t="e">
        <f>#REF!+#REF!</f>
        <v>#REF!</v>
      </c>
      <c r="L151" s="37" t="s">
        <v>8</v>
      </c>
      <c r="M151" s="20"/>
      <c r="N151" s="30"/>
      <c r="O151" s="41"/>
      <c r="P151" s="45"/>
      <c r="Q151" s="45"/>
    </row>
    <row r="152" spans="1:18" s="12" customFormat="1" ht="15.6" x14ac:dyDescent="0.3">
      <c r="A152" s="132">
        <v>3</v>
      </c>
      <c r="B152" s="76">
        <v>3</v>
      </c>
      <c r="C152" s="93"/>
      <c r="D152" s="36"/>
      <c r="E152" s="36"/>
      <c r="F152" s="36"/>
      <c r="G152" s="39"/>
      <c r="H152" s="22" t="s">
        <v>913</v>
      </c>
      <c r="I152" s="110"/>
      <c r="J152" s="37"/>
      <c r="K152" s="38" t="e">
        <f>K153+K154+K155+K156+K157+K158</f>
        <v>#REF!</v>
      </c>
      <c r="L152" s="37" t="s">
        <v>914</v>
      </c>
      <c r="M152" s="20"/>
      <c r="N152" s="30"/>
      <c r="O152" s="41"/>
      <c r="P152" s="16"/>
      <c r="Q152" s="16"/>
    </row>
    <row r="153" spans="1:18" s="46" customFormat="1" ht="31.2" x14ac:dyDescent="0.3">
      <c r="A153" s="94">
        <v>3</v>
      </c>
      <c r="B153" s="65">
        <v>3</v>
      </c>
      <c r="C153" s="95" t="s">
        <v>705</v>
      </c>
      <c r="D153" s="42"/>
      <c r="E153" s="42"/>
      <c r="F153" s="42"/>
      <c r="G153" s="66"/>
      <c r="H153" s="108" t="s">
        <v>915</v>
      </c>
      <c r="I153" s="112"/>
      <c r="J153" s="40" t="s">
        <v>784</v>
      </c>
      <c r="K153" s="47" t="e">
        <f>#REF!</f>
        <v>#REF!</v>
      </c>
      <c r="L153" s="37"/>
      <c r="M153" s="20"/>
      <c r="N153" s="30"/>
      <c r="O153" s="41"/>
      <c r="P153" s="45"/>
      <c r="Q153" s="45"/>
    </row>
    <row r="154" spans="1:18" s="46" customFormat="1" ht="31.2" x14ac:dyDescent="0.3">
      <c r="A154" s="94">
        <v>3</v>
      </c>
      <c r="B154" s="65">
        <v>3</v>
      </c>
      <c r="C154" s="95" t="s">
        <v>706</v>
      </c>
      <c r="D154" s="42"/>
      <c r="E154" s="42"/>
      <c r="F154" s="42"/>
      <c r="G154" s="66"/>
      <c r="H154" s="108" t="s">
        <v>916</v>
      </c>
      <c r="I154" s="112"/>
      <c r="J154" s="40" t="s">
        <v>97</v>
      </c>
      <c r="K154" s="47" t="e">
        <f>#REF!</f>
        <v>#REF!</v>
      </c>
      <c r="L154" s="37" t="s">
        <v>8</v>
      </c>
      <c r="M154" s="20"/>
      <c r="N154" s="30"/>
      <c r="O154" s="41"/>
      <c r="P154" s="45"/>
      <c r="Q154" s="45"/>
    </row>
    <row r="155" spans="1:18" s="46" customFormat="1" ht="15.6" x14ac:dyDescent="0.3">
      <c r="A155" s="94">
        <v>3</v>
      </c>
      <c r="B155" s="65">
        <v>3</v>
      </c>
      <c r="C155" s="95" t="s">
        <v>707</v>
      </c>
      <c r="D155" s="42"/>
      <c r="E155" s="42"/>
      <c r="F155" s="42"/>
      <c r="G155" s="66"/>
      <c r="H155" s="113" t="s">
        <v>917</v>
      </c>
      <c r="I155" s="109"/>
      <c r="J155" s="40" t="s">
        <v>97</v>
      </c>
      <c r="K155" s="47" t="e">
        <f>#REF!</f>
        <v>#REF!</v>
      </c>
      <c r="L155" s="37" t="s">
        <v>8</v>
      </c>
      <c r="M155" s="20"/>
      <c r="N155" s="30"/>
      <c r="O155" s="41"/>
      <c r="P155" s="45"/>
      <c r="Q155" s="45"/>
    </row>
    <row r="156" spans="1:18" s="46" customFormat="1" ht="31.2" x14ac:dyDescent="0.3">
      <c r="A156" s="94">
        <v>3</v>
      </c>
      <c r="B156" s="65">
        <v>3</v>
      </c>
      <c r="C156" s="95" t="s">
        <v>708</v>
      </c>
      <c r="D156" s="42"/>
      <c r="E156" s="42"/>
      <c r="F156" s="42"/>
      <c r="G156" s="66"/>
      <c r="H156" s="108" t="s">
        <v>918</v>
      </c>
      <c r="I156" s="109"/>
      <c r="J156" s="40" t="s">
        <v>188</v>
      </c>
      <c r="K156" s="47" t="e">
        <f>#REF!</f>
        <v>#REF!</v>
      </c>
      <c r="L156" s="40"/>
      <c r="M156" s="20"/>
      <c r="N156" s="30"/>
      <c r="O156" s="41"/>
      <c r="P156" s="45"/>
      <c r="Q156" s="45"/>
    </row>
    <row r="157" spans="1:18" s="46" customFormat="1" ht="31.2" x14ac:dyDescent="0.3">
      <c r="A157" s="94">
        <v>3</v>
      </c>
      <c r="B157" s="65">
        <v>3</v>
      </c>
      <c r="C157" s="95" t="s">
        <v>709</v>
      </c>
      <c r="D157" s="42"/>
      <c r="E157" s="42"/>
      <c r="F157" s="42"/>
      <c r="G157" s="66"/>
      <c r="H157" s="108" t="s">
        <v>919</v>
      </c>
      <c r="I157" s="112"/>
      <c r="J157" s="40" t="s">
        <v>188</v>
      </c>
      <c r="K157" s="47" t="e">
        <f>#REF!</f>
        <v>#REF!</v>
      </c>
      <c r="L157" s="37"/>
      <c r="M157" s="20"/>
      <c r="N157" s="30"/>
      <c r="O157" s="41"/>
      <c r="P157" s="45"/>
      <c r="Q157" s="45"/>
    </row>
    <row r="158" spans="1:18" s="46" customFormat="1" ht="15.6" x14ac:dyDescent="0.3">
      <c r="A158" s="94">
        <v>3</v>
      </c>
      <c r="B158" s="65">
        <v>3</v>
      </c>
      <c r="C158" s="95" t="s">
        <v>710</v>
      </c>
      <c r="D158" s="42"/>
      <c r="E158" s="42"/>
      <c r="F158" s="42"/>
      <c r="G158" s="66"/>
      <c r="H158" s="96" t="s">
        <v>920</v>
      </c>
      <c r="I158" s="114"/>
      <c r="J158" s="40" t="s">
        <v>97</v>
      </c>
      <c r="K158" s="47" t="e">
        <f>#REF!</f>
        <v>#REF!</v>
      </c>
      <c r="L158" s="37" t="s">
        <v>8</v>
      </c>
      <c r="M158" s="20"/>
      <c r="N158" s="30"/>
      <c r="O158" s="41"/>
      <c r="P158" s="45"/>
      <c r="Q158" s="45"/>
    </row>
    <row r="159" spans="1:18" s="12" customFormat="1" ht="15" customHeight="1" x14ac:dyDescent="0.3">
      <c r="A159" s="132">
        <v>3</v>
      </c>
      <c r="B159" s="76">
        <v>4</v>
      </c>
      <c r="C159" s="93"/>
      <c r="D159" s="36"/>
      <c r="E159" s="36"/>
      <c r="F159" s="36"/>
      <c r="G159" s="39"/>
      <c r="H159" s="161" t="s">
        <v>921</v>
      </c>
      <c r="I159" s="36"/>
      <c r="J159" s="37"/>
      <c r="K159" s="38" t="e">
        <f>K160+K161+K162+K163</f>
        <v>#REF!</v>
      </c>
      <c r="L159" s="37" t="s">
        <v>8</v>
      </c>
      <c r="M159" s="20"/>
      <c r="N159" s="30"/>
      <c r="O159" s="41"/>
      <c r="P159" s="16"/>
      <c r="Q159" s="16"/>
    </row>
    <row r="160" spans="1:18" s="46" customFormat="1" ht="15.6" x14ac:dyDescent="0.3">
      <c r="A160" s="94">
        <v>3</v>
      </c>
      <c r="B160" s="65">
        <v>4</v>
      </c>
      <c r="C160" s="95" t="s">
        <v>705</v>
      </c>
      <c r="D160" s="42"/>
      <c r="E160" s="42"/>
      <c r="F160" s="42"/>
      <c r="G160" s="66"/>
      <c r="H160" s="96" t="s">
        <v>922</v>
      </c>
      <c r="I160" s="42"/>
      <c r="J160" s="40" t="s">
        <v>97</v>
      </c>
      <c r="K160" s="47" t="e">
        <f>#REF!</f>
        <v>#REF!</v>
      </c>
      <c r="L160" s="40"/>
      <c r="M160" s="20"/>
      <c r="N160" s="30"/>
      <c r="O160" s="41"/>
      <c r="P160" s="45"/>
      <c r="Q160" s="45"/>
    </row>
    <row r="161" spans="1:17" s="46" customFormat="1" ht="15.6" x14ac:dyDescent="0.3">
      <c r="A161" s="94">
        <v>3</v>
      </c>
      <c r="B161" s="65">
        <v>4</v>
      </c>
      <c r="C161" s="95" t="s">
        <v>706</v>
      </c>
      <c r="D161" s="42"/>
      <c r="E161" s="42"/>
      <c r="F161" s="42"/>
      <c r="G161" s="66"/>
      <c r="H161" s="96" t="s">
        <v>923</v>
      </c>
      <c r="I161" s="42"/>
      <c r="J161" s="40" t="s">
        <v>97</v>
      </c>
      <c r="K161" s="47" t="e">
        <f>#REF!</f>
        <v>#REF!</v>
      </c>
      <c r="L161" s="40" t="s">
        <v>77</v>
      </c>
      <c r="M161" s="20"/>
      <c r="N161" s="30"/>
      <c r="O161" s="41"/>
      <c r="P161" s="45"/>
      <c r="Q161" s="45"/>
    </row>
    <row r="162" spans="1:17" s="46" customFormat="1" ht="15.6" x14ac:dyDescent="0.3">
      <c r="A162" s="94">
        <v>3</v>
      </c>
      <c r="B162" s="65">
        <v>4</v>
      </c>
      <c r="C162" s="95" t="s">
        <v>707</v>
      </c>
      <c r="D162" s="42"/>
      <c r="E162" s="42"/>
      <c r="F162" s="42"/>
      <c r="G162" s="66"/>
      <c r="H162" s="96" t="s">
        <v>924</v>
      </c>
      <c r="I162" s="42"/>
      <c r="J162" s="40" t="s">
        <v>97</v>
      </c>
      <c r="K162" s="47" t="e">
        <f>#REF!</f>
        <v>#REF!</v>
      </c>
      <c r="L162" s="44" t="s">
        <v>8</v>
      </c>
      <c r="M162" s="20"/>
      <c r="N162" s="30"/>
      <c r="O162" s="41"/>
      <c r="P162" s="45"/>
      <c r="Q162" s="45"/>
    </row>
    <row r="163" spans="1:17" s="46" customFormat="1" ht="15.6" x14ac:dyDescent="0.3">
      <c r="A163" s="94">
        <v>3</v>
      </c>
      <c r="B163" s="65">
        <v>4</v>
      </c>
      <c r="C163" s="95" t="s">
        <v>708</v>
      </c>
      <c r="D163" s="42"/>
      <c r="E163" s="42"/>
      <c r="F163" s="42"/>
      <c r="G163" s="66"/>
      <c r="H163" s="96" t="s">
        <v>925</v>
      </c>
      <c r="I163" s="42"/>
      <c r="J163" s="40" t="s">
        <v>97</v>
      </c>
      <c r="K163" s="47" t="e">
        <f>#REF!</f>
        <v>#REF!</v>
      </c>
      <c r="L163" s="40"/>
      <c r="M163" s="20"/>
      <c r="N163" s="30"/>
      <c r="O163" s="41"/>
      <c r="P163" s="45"/>
      <c r="Q163" s="45"/>
    </row>
    <row r="164" spans="1:17" s="27" customFormat="1" ht="15.6" x14ac:dyDescent="0.3">
      <c r="A164" s="21">
        <v>4</v>
      </c>
      <c r="B164" s="131"/>
      <c r="C164" s="131"/>
      <c r="D164" s="36"/>
      <c r="E164" s="21"/>
      <c r="F164" s="21"/>
      <c r="G164" s="23"/>
      <c r="H164" s="22" t="s">
        <v>926</v>
      </c>
      <c r="I164" s="21"/>
      <c r="J164" s="22"/>
      <c r="K164" s="24" t="e">
        <f>K165+K172+K179+K183+K187+K191+K194</f>
        <v>#REF!</v>
      </c>
      <c r="L164" s="22" t="s">
        <v>713</v>
      </c>
      <c r="M164" s="20"/>
      <c r="N164" s="30"/>
      <c r="O164" s="41"/>
      <c r="P164" s="26"/>
      <c r="Q164" s="26"/>
    </row>
    <row r="165" spans="1:17" s="35" customFormat="1" ht="15.6" x14ac:dyDescent="0.3">
      <c r="A165" s="31">
        <v>4</v>
      </c>
      <c r="B165" s="51">
        <v>1</v>
      </c>
      <c r="C165" s="51"/>
      <c r="D165" s="36"/>
      <c r="E165" s="31"/>
      <c r="F165" s="31"/>
      <c r="G165" s="32"/>
      <c r="H165" s="29" t="s">
        <v>927</v>
      </c>
      <c r="I165" s="31"/>
      <c r="J165" s="29"/>
      <c r="K165" s="33" t="e">
        <f>K166+K167+K168+K169+K170+K171</f>
        <v>#REF!</v>
      </c>
      <c r="L165" s="29"/>
      <c r="M165" s="20"/>
      <c r="N165" s="30"/>
      <c r="O165" s="41"/>
      <c r="P165" s="34"/>
      <c r="Q165" s="34"/>
    </row>
    <row r="166" spans="1:17" s="46" customFormat="1" ht="15.6" x14ac:dyDescent="0.3">
      <c r="A166" s="94">
        <v>4</v>
      </c>
      <c r="B166" s="95">
        <v>1</v>
      </c>
      <c r="C166" s="95" t="s">
        <v>705</v>
      </c>
      <c r="D166" s="42"/>
      <c r="E166" s="42"/>
      <c r="F166" s="42"/>
      <c r="G166" s="66"/>
      <c r="H166" s="162" t="s">
        <v>928</v>
      </c>
      <c r="I166" s="42"/>
      <c r="J166" s="40" t="s">
        <v>188</v>
      </c>
      <c r="K166" s="47" t="e">
        <f>#REF!</f>
        <v>#REF!</v>
      </c>
      <c r="L166" s="40"/>
      <c r="M166" s="20"/>
      <c r="N166" s="30"/>
      <c r="O166" s="41"/>
      <c r="P166" s="45"/>
      <c r="Q166" s="45"/>
    </row>
    <row r="167" spans="1:17" s="46" customFormat="1" ht="15.6" x14ac:dyDescent="0.3">
      <c r="A167" s="94">
        <v>4</v>
      </c>
      <c r="B167" s="95">
        <v>1</v>
      </c>
      <c r="C167" s="95" t="s">
        <v>706</v>
      </c>
      <c r="D167" s="42"/>
      <c r="E167" s="42"/>
      <c r="F167" s="42"/>
      <c r="G167" s="66"/>
      <c r="H167" s="162" t="s">
        <v>929</v>
      </c>
      <c r="I167" s="42"/>
      <c r="J167" s="40" t="s">
        <v>188</v>
      </c>
      <c r="K167" s="47" t="e">
        <f>#REF!</f>
        <v>#REF!</v>
      </c>
      <c r="L167" s="40"/>
      <c r="M167" s="20"/>
      <c r="N167" s="30"/>
      <c r="O167" s="41"/>
      <c r="P167" s="45"/>
      <c r="Q167" s="45"/>
    </row>
    <row r="168" spans="1:17" s="46" customFormat="1" ht="31.2" x14ac:dyDescent="0.3">
      <c r="A168" s="94">
        <v>4</v>
      </c>
      <c r="B168" s="95">
        <v>1</v>
      </c>
      <c r="C168" s="95" t="s">
        <v>707</v>
      </c>
      <c r="D168" s="42"/>
      <c r="E168" s="42"/>
      <c r="F168" s="42"/>
      <c r="G168" s="66"/>
      <c r="H168" s="162" t="s">
        <v>930</v>
      </c>
      <c r="I168" s="42"/>
      <c r="J168" s="40" t="s">
        <v>188</v>
      </c>
      <c r="K168" s="47" t="e">
        <f>#REF!</f>
        <v>#REF!</v>
      </c>
      <c r="L168" s="40"/>
      <c r="M168" s="20"/>
      <c r="N168" s="30"/>
      <c r="O168" s="41"/>
      <c r="P168" s="45"/>
      <c r="Q168" s="45"/>
    </row>
    <row r="169" spans="1:17" s="46" customFormat="1" ht="31.2" x14ac:dyDescent="0.3">
      <c r="A169" s="94">
        <v>4</v>
      </c>
      <c r="B169" s="95">
        <v>1</v>
      </c>
      <c r="C169" s="95" t="s">
        <v>708</v>
      </c>
      <c r="D169" s="42"/>
      <c r="E169" s="42"/>
      <c r="F169" s="42"/>
      <c r="G169" s="66"/>
      <c r="H169" s="162" t="s">
        <v>931</v>
      </c>
      <c r="I169" s="42"/>
      <c r="J169" s="40" t="s">
        <v>188</v>
      </c>
      <c r="K169" s="47" t="e">
        <f>#REF!</f>
        <v>#REF!</v>
      </c>
      <c r="L169" s="40"/>
      <c r="M169" s="20"/>
      <c r="N169" s="30"/>
      <c r="O169" s="41"/>
      <c r="P169" s="45"/>
      <c r="Q169" s="45"/>
    </row>
    <row r="170" spans="1:17" s="46" customFormat="1" ht="15.6" x14ac:dyDescent="0.3">
      <c r="A170" s="94">
        <v>4</v>
      </c>
      <c r="B170" s="95">
        <v>1</v>
      </c>
      <c r="C170" s="95" t="s">
        <v>709</v>
      </c>
      <c r="D170" s="42"/>
      <c r="E170" s="42"/>
      <c r="F170" s="42"/>
      <c r="G170" s="66"/>
      <c r="H170" s="162" t="s">
        <v>932</v>
      </c>
      <c r="I170" s="42"/>
      <c r="J170" s="40" t="s">
        <v>188</v>
      </c>
      <c r="K170" s="47" t="e">
        <f>#REF!</f>
        <v>#REF!</v>
      </c>
      <c r="L170" s="40"/>
      <c r="M170" s="20"/>
      <c r="N170" s="30"/>
      <c r="O170" s="41"/>
      <c r="P170" s="45"/>
      <c r="Q170" s="45"/>
    </row>
    <row r="171" spans="1:17" s="46" customFormat="1" ht="31.2" x14ac:dyDescent="0.3">
      <c r="A171" s="94">
        <v>4</v>
      </c>
      <c r="B171" s="95">
        <v>1</v>
      </c>
      <c r="C171" s="95" t="s">
        <v>710</v>
      </c>
      <c r="D171" s="42"/>
      <c r="E171" s="42"/>
      <c r="F171" s="42"/>
      <c r="G171" s="66"/>
      <c r="H171" s="162" t="s">
        <v>933</v>
      </c>
      <c r="I171" s="42"/>
      <c r="J171" s="40" t="s">
        <v>97</v>
      </c>
      <c r="K171" s="47" t="e">
        <f>#REF!</f>
        <v>#REF!</v>
      </c>
      <c r="L171" s="40"/>
      <c r="M171" s="20"/>
      <c r="N171" s="30"/>
      <c r="O171" s="41"/>
      <c r="P171" s="45"/>
      <c r="Q171" s="45"/>
    </row>
    <row r="172" spans="1:17" s="35" customFormat="1" ht="15.6" x14ac:dyDescent="0.3">
      <c r="A172" s="31">
        <v>4</v>
      </c>
      <c r="B172" s="51">
        <v>2</v>
      </c>
      <c r="C172" s="51"/>
      <c r="D172" s="36"/>
      <c r="E172" s="31"/>
      <c r="F172" s="31"/>
      <c r="G172" s="32"/>
      <c r="H172" s="29" t="s">
        <v>934</v>
      </c>
      <c r="I172" s="31"/>
      <c r="J172" s="29"/>
      <c r="K172" s="33" t="e">
        <f>K173+K174+K175+K176+K177+K178</f>
        <v>#REF!</v>
      </c>
      <c r="L172" s="37" t="s">
        <v>713</v>
      </c>
      <c r="M172" s="20"/>
      <c r="N172" s="30"/>
      <c r="O172" s="41"/>
      <c r="P172" s="34"/>
      <c r="Q172" s="34"/>
    </row>
    <row r="173" spans="1:17" s="46" customFormat="1" ht="31.2" x14ac:dyDescent="0.3">
      <c r="A173" s="94">
        <v>4</v>
      </c>
      <c r="B173" s="95">
        <v>2</v>
      </c>
      <c r="C173" s="95" t="s">
        <v>705</v>
      </c>
      <c r="D173" s="42"/>
      <c r="E173" s="42"/>
      <c r="F173" s="42"/>
      <c r="G173" s="66"/>
      <c r="H173" s="162" t="s">
        <v>935</v>
      </c>
      <c r="I173" s="42"/>
      <c r="J173" s="40" t="s">
        <v>188</v>
      </c>
      <c r="K173" s="47" t="e">
        <f>#REF!+#REF!</f>
        <v>#REF!</v>
      </c>
      <c r="L173" s="37" t="s">
        <v>713</v>
      </c>
      <c r="M173" s="20"/>
      <c r="N173" s="30"/>
      <c r="O173" s="41"/>
      <c r="P173" s="45"/>
      <c r="Q173" s="45"/>
    </row>
    <row r="174" spans="1:17" s="46" customFormat="1" ht="31.2" x14ac:dyDescent="0.3">
      <c r="A174" s="94">
        <v>4</v>
      </c>
      <c r="B174" s="95">
        <v>2</v>
      </c>
      <c r="C174" s="95" t="s">
        <v>706</v>
      </c>
      <c r="D174" s="42"/>
      <c r="E174" s="42"/>
      <c r="F174" s="42"/>
      <c r="G174" s="66"/>
      <c r="H174" s="162" t="s">
        <v>936</v>
      </c>
      <c r="I174" s="65" t="s">
        <v>838</v>
      </c>
      <c r="J174" s="40" t="s">
        <v>188</v>
      </c>
      <c r="K174" s="47" t="e">
        <f>#REF!+#REF!</f>
        <v>#REF!</v>
      </c>
      <c r="L174" s="40"/>
      <c r="M174" s="20"/>
      <c r="N174" s="30"/>
      <c r="O174" s="41"/>
      <c r="P174" s="45"/>
      <c r="Q174" s="45"/>
    </row>
    <row r="175" spans="1:17" s="46" customFormat="1" ht="15.6" x14ac:dyDescent="0.3">
      <c r="A175" s="94">
        <v>4</v>
      </c>
      <c r="B175" s="95">
        <v>2</v>
      </c>
      <c r="C175" s="95" t="s">
        <v>707</v>
      </c>
      <c r="D175" s="42"/>
      <c r="E175" s="42"/>
      <c r="F175" s="42"/>
      <c r="G175" s="66"/>
      <c r="H175" s="162" t="s">
        <v>937</v>
      </c>
      <c r="I175" s="42"/>
      <c r="J175" s="40" t="s">
        <v>188</v>
      </c>
      <c r="K175" s="47" t="e">
        <f>#REF!</f>
        <v>#REF!</v>
      </c>
      <c r="L175" s="40"/>
      <c r="M175" s="20"/>
      <c r="N175" s="30"/>
      <c r="O175" s="41"/>
      <c r="P175" s="45"/>
      <c r="Q175" s="45"/>
    </row>
    <row r="176" spans="1:17" s="46" customFormat="1" ht="15.6" x14ac:dyDescent="0.3">
      <c r="A176" s="94">
        <v>4</v>
      </c>
      <c r="B176" s="95">
        <v>2</v>
      </c>
      <c r="C176" s="95" t="s">
        <v>708</v>
      </c>
      <c r="D176" s="42"/>
      <c r="E176" s="42"/>
      <c r="F176" s="42"/>
      <c r="G176" s="66"/>
      <c r="H176" s="162" t="s">
        <v>938</v>
      </c>
      <c r="I176" s="42"/>
      <c r="J176" s="40" t="s">
        <v>188</v>
      </c>
      <c r="K176" s="47" t="e">
        <f>#REF!</f>
        <v>#REF!</v>
      </c>
      <c r="L176" s="40"/>
      <c r="M176" s="20"/>
      <c r="N176" s="30"/>
      <c r="O176" s="41"/>
      <c r="P176" s="45"/>
      <c r="Q176" s="45"/>
    </row>
    <row r="177" spans="1:17" s="46" customFormat="1" ht="31.2" x14ac:dyDescent="0.3">
      <c r="A177" s="94">
        <v>4</v>
      </c>
      <c r="B177" s="95">
        <v>2</v>
      </c>
      <c r="C177" s="95" t="s">
        <v>709</v>
      </c>
      <c r="D177" s="42"/>
      <c r="E177" s="42"/>
      <c r="F177" s="42"/>
      <c r="G177" s="66"/>
      <c r="H177" s="162" t="s">
        <v>939</v>
      </c>
      <c r="I177" s="42"/>
      <c r="J177" s="40" t="s">
        <v>97</v>
      </c>
      <c r="K177" s="47" t="e">
        <f>#REF!</f>
        <v>#REF!</v>
      </c>
      <c r="L177" s="40" t="s">
        <v>713</v>
      </c>
      <c r="M177" s="20"/>
      <c r="N177" s="30"/>
      <c r="O177" s="41"/>
      <c r="P177" s="45"/>
      <c r="Q177" s="45" t="e">
        <f>K177</f>
        <v>#REF!</v>
      </c>
    </row>
    <row r="178" spans="1:17" s="46" customFormat="1" ht="20.25" customHeight="1" x14ac:dyDescent="0.3">
      <c r="A178" s="94">
        <v>4</v>
      </c>
      <c r="B178" s="95">
        <v>2</v>
      </c>
      <c r="C178" s="95" t="s">
        <v>710</v>
      </c>
      <c r="D178" s="42"/>
      <c r="E178" s="42"/>
      <c r="F178" s="42"/>
      <c r="G178" s="88"/>
      <c r="H178" s="40" t="s">
        <v>940</v>
      </c>
      <c r="I178" s="42"/>
      <c r="J178" s="40" t="s">
        <v>188</v>
      </c>
      <c r="K178" s="47" t="e">
        <f>#REF!</f>
        <v>#REF!</v>
      </c>
      <c r="L178" s="40"/>
      <c r="M178" s="20"/>
      <c r="N178" s="30"/>
      <c r="O178" s="41"/>
      <c r="P178" s="45"/>
      <c r="Q178" s="45"/>
    </row>
    <row r="179" spans="1:17" s="35" customFormat="1" ht="15.6" x14ac:dyDescent="0.3">
      <c r="A179" s="31">
        <v>4</v>
      </c>
      <c r="B179" s="51">
        <v>3</v>
      </c>
      <c r="C179" s="51"/>
      <c r="D179" s="36"/>
      <c r="E179" s="31"/>
      <c r="F179" s="31"/>
      <c r="G179" s="32"/>
      <c r="H179" s="29" t="s">
        <v>941</v>
      </c>
      <c r="I179" s="31"/>
      <c r="J179" s="29"/>
      <c r="K179" s="33" t="e">
        <f>K180+K181+K182</f>
        <v>#REF!</v>
      </c>
      <c r="L179" s="37"/>
      <c r="M179" s="20"/>
      <c r="N179" s="30"/>
      <c r="O179" s="41"/>
      <c r="P179" s="34"/>
      <c r="Q179" s="34"/>
    </row>
    <row r="180" spans="1:17" s="46" customFormat="1" ht="15.6" x14ac:dyDescent="0.3">
      <c r="A180" s="94">
        <v>4</v>
      </c>
      <c r="B180" s="95">
        <v>3</v>
      </c>
      <c r="C180" s="95" t="s">
        <v>705</v>
      </c>
      <c r="D180" s="42"/>
      <c r="E180" s="42"/>
      <c r="F180" s="42"/>
      <c r="G180" s="66"/>
      <c r="H180" s="162" t="s">
        <v>942</v>
      </c>
      <c r="I180" s="42"/>
      <c r="J180" s="40" t="s">
        <v>784</v>
      </c>
      <c r="K180" s="47" t="e">
        <f>#REF!</f>
        <v>#REF!</v>
      </c>
      <c r="L180" s="37" t="s">
        <v>8</v>
      </c>
      <c r="M180" s="20"/>
      <c r="N180" s="30"/>
      <c r="O180" s="41"/>
      <c r="P180" s="45" t="e">
        <f>K180</f>
        <v>#REF!</v>
      </c>
      <c r="Q180" s="45"/>
    </row>
    <row r="181" spans="1:17" s="46" customFormat="1" ht="15.6" x14ac:dyDescent="0.3">
      <c r="A181" s="94">
        <v>4</v>
      </c>
      <c r="B181" s="95">
        <v>3</v>
      </c>
      <c r="C181" s="95" t="s">
        <v>706</v>
      </c>
      <c r="D181" s="42"/>
      <c r="E181" s="42"/>
      <c r="F181" s="42"/>
      <c r="G181" s="66"/>
      <c r="H181" s="162" t="s">
        <v>943</v>
      </c>
      <c r="I181" s="42"/>
      <c r="J181" s="40" t="s">
        <v>784</v>
      </c>
      <c r="K181" s="47" t="e">
        <f>#REF!</f>
        <v>#REF!</v>
      </c>
      <c r="L181" s="37" t="s">
        <v>8</v>
      </c>
      <c r="M181" s="20"/>
      <c r="N181" s="30"/>
      <c r="O181" s="41"/>
      <c r="P181" s="45"/>
      <c r="Q181" s="45"/>
    </row>
    <row r="182" spans="1:17" s="46" customFormat="1" ht="15.6" x14ac:dyDescent="0.3">
      <c r="A182" s="94">
        <v>4</v>
      </c>
      <c r="B182" s="95">
        <v>3</v>
      </c>
      <c r="C182" s="95" t="s">
        <v>707</v>
      </c>
      <c r="D182" s="42"/>
      <c r="E182" s="42"/>
      <c r="F182" s="42"/>
      <c r="G182" s="66"/>
      <c r="H182" s="162" t="s">
        <v>944</v>
      </c>
      <c r="I182" s="42"/>
      <c r="J182" s="40" t="s">
        <v>784</v>
      </c>
      <c r="K182" s="47" t="e">
        <f>#REF!</f>
        <v>#REF!</v>
      </c>
      <c r="L182" s="37" t="s">
        <v>8</v>
      </c>
      <c r="M182" s="20"/>
      <c r="N182" s="30"/>
      <c r="O182" s="41"/>
      <c r="P182" s="45"/>
      <c r="Q182" s="45"/>
    </row>
    <row r="183" spans="1:17" s="12" customFormat="1" ht="15.6" x14ac:dyDescent="0.3">
      <c r="A183" s="21">
        <v>4</v>
      </c>
      <c r="B183" s="131">
        <v>4</v>
      </c>
      <c r="C183" s="76"/>
      <c r="D183" s="36"/>
      <c r="E183" s="36"/>
      <c r="F183" s="36"/>
      <c r="G183" s="39"/>
      <c r="H183" s="163" t="s">
        <v>945</v>
      </c>
      <c r="I183" s="36"/>
      <c r="J183" s="37"/>
      <c r="K183" s="38" t="e">
        <f>K184+K185+K186</f>
        <v>#REF!</v>
      </c>
      <c r="L183" s="37"/>
      <c r="M183" s="20"/>
      <c r="N183" s="30"/>
      <c r="O183" s="41"/>
      <c r="P183" s="16"/>
      <c r="Q183" s="16"/>
    </row>
    <row r="184" spans="1:17" s="46" customFormat="1" ht="15.6" x14ac:dyDescent="0.3">
      <c r="A184" s="42">
        <v>4</v>
      </c>
      <c r="B184" s="65">
        <v>4</v>
      </c>
      <c r="C184" s="65" t="s">
        <v>705</v>
      </c>
      <c r="D184" s="42"/>
      <c r="E184" s="42"/>
      <c r="F184" s="42"/>
      <c r="G184" s="66"/>
      <c r="H184" s="162" t="s">
        <v>946</v>
      </c>
      <c r="I184" s="42"/>
      <c r="J184" s="40" t="s">
        <v>97</v>
      </c>
      <c r="K184" s="47" t="e">
        <f>#REF!</f>
        <v>#REF!</v>
      </c>
      <c r="L184" s="37"/>
      <c r="M184" s="20"/>
      <c r="N184" s="30"/>
      <c r="O184" s="41"/>
      <c r="P184" s="45"/>
      <c r="Q184" s="45"/>
    </row>
    <row r="185" spans="1:17" s="46" customFormat="1" ht="15.6" x14ac:dyDescent="0.3">
      <c r="A185" s="94">
        <v>4</v>
      </c>
      <c r="B185" s="65">
        <v>4</v>
      </c>
      <c r="C185" s="65" t="s">
        <v>706</v>
      </c>
      <c r="D185" s="42"/>
      <c r="E185" s="42"/>
      <c r="F185" s="42"/>
      <c r="G185" s="66"/>
      <c r="H185" s="162" t="s">
        <v>947</v>
      </c>
      <c r="I185" s="42"/>
      <c r="J185" s="40" t="s">
        <v>97</v>
      </c>
      <c r="K185" s="47" t="e">
        <f>#REF!</f>
        <v>#REF!</v>
      </c>
      <c r="L185" s="37"/>
      <c r="M185" s="20"/>
      <c r="N185" s="30"/>
      <c r="O185" s="41"/>
      <c r="P185" s="45"/>
      <c r="Q185" s="45"/>
    </row>
    <row r="186" spans="1:17" s="46" customFormat="1" ht="15.6" x14ac:dyDescent="0.3">
      <c r="A186" s="94">
        <v>4</v>
      </c>
      <c r="B186" s="65">
        <v>4</v>
      </c>
      <c r="C186" s="65" t="s">
        <v>707</v>
      </c>
      <c r="D186" s="42"/>
      <c r="E186" s="42"/>
      <c r="F186" s="42"/>
      <c r="G186" s="66"/>
      <c r="H186" s="162" t="s">
        <v>948</v>
      </c>
      <c r="I186" s="42"/>
      <c r="J186" s="40" t="s">
        <v>97</v>
      </c>
      <c r="K186" s="47" t="e">
        <f>#REF!</f>
        <v>#REF!</v>
      </c>
      <c r="L186" s="37"/>
      <c r="M186" s="20"/>
      <c r="N186" s="30"/>
      <c r="O186" s="41"/>
      <c r="P186" s="45"/>
      <c r="Q186" s="45"/>
    </row>
    <row r="187" spans="1:17" s="12" customFormat="1" ht="15.6" x14ac:dyDescent="0.3">
      <c r="A187" s="21">
        <v>4</v>
      </c>
      <c r="B187" s="131">
        <v>5</v>
      </c>
      <c r="C187" s="76"/>
      <c r="D187" s="36"/>
      <c r="E187" s="36"/>
      <c r="F187" s="36"/>
      <c r="G187" s="39"/>
      <c r="H187" s="134" t="s">
        <v>949</v>
      </c>
      <c r="I187" s="153"/>
      <c r="J187" s="37"/>
      <c r="K187" s="38" t="e">
        <f>K188+K189+K190</f>
        <v>#REF!</v>
      </c>
      <c r="L187" s="37"/>
      <c r="M187" s="20"/>
      <c r="N187" s="30"/>
      <c r="O187" s="41"/>
      <c r="P187" s="16"/>
      <c r="Q187" s="16"/>
    </row>
    <row r="188" spans="1:17" s="46" customFormat="1" ht="15.6" x14ac:dyDescent="0.3">
      <c r="A188" s="42">
        <v>4</v>
      </c>
      <c r="B188" s="65">
        <v>5</v>
      </c>
      <c r="C188" s="65" t="s">
        <v>705</v>
      </c>
      <c r="D188" s="42"/>
      <c r="E188" s="42"/>
      <c r="F188" s="42"/>
      <c r="G188" s="66"/>
      <c r="H188" s="113" t="s">
        <v>950</v>
      </c>
      <c r="I188" s="109"/>
      <c r="J188" s="40" t="s">
        <v>784</v>
      </c>
      <c r="K188" s="47" t="e">
        <f>#REF!</f>
        <v>#REF!</v>
      </c>
      <c r="L188" s="37"/>
      <c r="M188" s="20"/>
      <c r="N188" s="30"/>
      <c r="O188" s="41"/>
      <c r="P188" s="45"/>
      <c r="Q188" s="45"/>
    </row>
    <row r="189" spans="1:17" s="46" customFormat="1" ht="31.2" x14ac:dyDescent="0.3">
      <c r="A189" s="42">
        <v>4</v>
      </c>
      <c r="B189" s="65">
        <v>5</v>
      </c>
      <c r="C189" s="65" t="s">
        <v>706</v>
      </c>
      <c r="D189" s="42"/>
      <c r="E189" s="42"/>
      <c r="F189" s="42"/>
      <c r="G189" s="66"/>
      <c r="H189" s="108" t="s">
        <v>951</v>
      </c>
      <c r="I189" s="109"/>
      <c r="J189" s="40" t="s">
        <v>188</v>
      </c>
      <c r="K189" s="47" t="e">
        <f>#REF!</f>
        <v>#REF!</v>
      </c>
      <c r="L189" s="37"/>
      <c r="M189" s="20"/>
      <c r="N189" s="30"/>
      <c r="O189" s="41"/>
      <c r="P189" s="45"/>
      <c r="Q189" s="45"/>
    </row>
    <row r="190" spans="1:17" s="46" customFormat="1" ht="31.5" customHeight="1" x14ac:dyDescent="0.3">
      <c r="A190" s="42">
        <v>4</v>
      </c>
      <c r="B190" s="65">
        <v>5</v>
      </c>
      <c r="C190" s="65" t="s">
        <v>707</v>
      </c>
      <c r="D190" s="42"/>
      <c r="E190" s="42"/>
      <c r="F190" s="42"/>
      <c r="G190" s="66"/>
      <c r="H190" s="108" t="s">
        <v>952</v>
      </c>
      <c r="I190" s="112"/>
      <c r="J190" s="40" t="s">
        <v>188</v>
      </c>
      <c r="K190" s="47" t="e">
        <f>#REF!</f>
        <v>#REF!</v>
      </c>
      <c r="L190" s="37"/>
      <c r="M190" s="20"/>
      <c r="N190" s="30"/>
      <c r="O190" s="41"/>
      <c r="P190" s="45"/>
      <c r="Q190" s="45"/>
    </row>
    <row r="191" spans="1:17" s="12" customFormat="1" ht="15.6" x14ac:dyDescent="0.3">
      <c r="A191" s="21">
        <v>4</v>
      </c>
      <c r="B191" s="131">
        <v>6</v>
      </c>
      <c r="C191" s="76"/>
      <c r="D191" s="36"/>
      <c r="E191" s="36"/>
      <c r="F191" s="36"/>
      <c r="G191" s="39"/>
      <c r="H191" s="152" t="s">
        <v>953</v>
      </c>
      <c r="I191" s="153"/>
      <c r="J191" s="37"/>
      <c r="K191" s="38" t="e">
        <f>K192+K193</f>
        <v>#REF!</v>
      </c>
      <c r="L191" s="37"/>
      <c r="M191" s="20"/>
      <c r="N191" s="30"/>
      <c r="O191" s="41"/>
      <c r="P191" s="16"/>
      <c r="Q191" s="16"/>
    </row>
    <row r="192" spans="1:17" s="46" customFormat="1" ht="15.6" x14ac:dyDescent="0.3">
      <c r="A192" s="42">
        <v>4</v>
      </c>
      <c r="B192" s="65">
        <v>6</v>
      </c>
      <c r="C192" s="65" t="s">
        <v>705</v>
      </c>
      <c r="D192" s="42"/>
      <c r="E192" s="42"/>
      <c r="F192" s="42"/>
      <c r="G192" s="66"/>
      <c r="H192" s="113" t="s">
        <v>954</v>
      </c>
      <c r="I192" s="109"/>
      <c r="J192" s="40" t="s">
        <v>188</v>
      </c>
      <c r="K192" s="47" t="e">
        <f>#REF!</f>
        <v>#REF!</v>
      </c>
      <c r="L192" s="37"/>
      <c r="M192" s="20"/>
      <c r="N192" s="30"/>
      <c r="O192" s="41"/>
      <c r="P192" s="45"/>
      <c r="Q192" s="45"/>
    </row>
    <row r="193" spans="1:17" s="46" customFormat="1" ht="15.6" x14ac:dyDescent="0.3">
      <c r="A193" s="42">
        <v>4</v>
      </c>
      <c r="B193" s="65">
        <v>6</v>
      </c>
      <c r="C193" s="65" t="s">
        <v>706</v>
      </c>
      <c r="D193" s="42"/>
      <c r="E193" s="42"/>
      <c r="F193" s="42"/>
      <c r="G193" s="66"/>
      <c r="H193" s="113" t="s">
        <v>955</v>
      </c>
      <c r="I193" s="109"/>
      <c r="J193" s="40" t="s">
        <v>97</v>
      </c>
      <c r="K193" s="47" t="e">
        <f>#REF!</f>
        <v>#REF!</v>
      </c>
      <c r="L193" s="40"/>
      <c r="M193" s="20"/>
      <c r="N193" s="30"/>
      <c r="O193" s="41"/>
      <c r="P193" s="45"/>
      <c r="Q193" s="45"/>
    </row>
    <row r="194" spans="1:17" s="12" customFormat="1" ht="15.6" x14ac:dyDescent="0.3">
      <c r="A194" s="36">
        <v>4</v>
      </c>
      <c r="B194" s="76">
        <v>7</v>
      </c>
      <c r="C194" s="76"/>
      <c r="D194" s="36"/>
      <c r="E194" s="36"/>
      <c r="F194" s="36"/>
      <c r="G194" s="39"/>
      <c r="H194" s="152" t="s">
        <v>956</v>
      </c>
      <c r="I194" s="153"/>
      <c r="J194" s="37"/>
      <c r="K194" s="38" t="e">
        <f>K195+K196+K197+K198</f>
        <v>#REF!</v>
      </c>
      <c r="L194" s="37" t="s">
        <v>8</v>
      </c>
      <c r="M194" s="20"/>
      <c r="N194" s="30"/>
      <c r="O194" s="41"/>
      <c r="P194" s="16"/>
      <c r="Q194" s="16"/>
    </row>
    <row r="195" spans="1:17" s="46" customFormat="1" ht="15.6" x14ac:dyDescent="0.3">
      <c r="A195" s="42">
        <v>4</v>
      </c>
      <c r="B195" s="65">
        <v>7</v>
      </c>
      <c r="C195" s="76" t="s">
        <v>705</v>
      </c>
      <c r="D195" s="42"/>
      <c r="E195" s="42"/>
      <c r="F195" s="42"/>
      <c r="G195" s="66"/>
      <c r="H195" s="164" t="s">
        <v>957</v>
      </c>
      <c r="I195" s="165"/>
      <c r="J195" s="40" t="s">
        <v>188</v>
      </c>
      <c r="K195" s="47" t="e">
        <f>#REF!</f>
        <v>#REF!</v>
      </c>
      <c r="L195" s="37" t="s">
        <v>8</v>
      </c>
      <c r="M195" s="20"/>
      <c r="N195" s="30"/>
      <c r="O195" s="41"/>
      <c r="P195" s="45"/>
      <c r="Q195" s="45"/>
    </row>
    <row r="196" spans="1:17" s="46" customFormat="1" ht="13.95" customHeight="1" x14ac:dyDescent="0.3">
      <c r="A196" s="94">
        <v>4</v>
      </c>
      <c r="B196" s="95">
        <v>7</v>
      </c>
      <c r="C196" s="95" t="s">
        <v>706</v>
      </c>
      <c r="D196" s="42"/>
      <c r="E196" s="42"/>
      <c r="F196" s="42"/>
      <c r="G196" s="66"/>
      <c r="H196" s="164" t="s">
        <v>958</v>
      </c>
      <c r="I196" s="165"/>
      <c r="J196" s="40" t="s">
        <v>188</v>
      </c>
      <c r="K196" s="47" t="e">
        <f>#REF!</f>
        <v>#REF!</v>
      </c>
      <c r="L196" s="37" t="s">
        <v>713</v>
      </c>
      <c r="M196" s="20"/>
      <c r="N196" s="30"/>
      <c r="O196" s="41"/>
      <c r="P196" s="45"/>
      <c r="Q196" s="45"/>
    </row>
    <row r="197" spans="1:17" s="46" customFormat="1" ht="15.6" x14ac:dyDescent="0.3">
      <c r="A197" s="94">
        <v>4</v>
      </c>
      <c r="B197" s="95">
        <v>7</v>
      </c>
      <c r="C197" s="65" t="s">
        <v>707</v>
      </c>
      <c r="D197" s="42"/>
      <c r="E197" s="42"/>
      <c r="F197" s="42"/>
      <c r="G197" s="66"/>
      <c r="H197" s="164" t="s">
        <v>959</v>
      </c>
      <c r="I197" s="165"/>
      <c r="J197" s="40" t="s">
        <v>188</v>
      </c>
      <c r="K197" s="47" t="e">
        <f>#REF!+#REF!</f>
        <v>#REF!</v>
      </c>
      <c r="L197" s="40"/>
      <c r="M197" s="20"/>
      <c r="N197" s="30"/>
      <c r="O197" s="41"/>
      <c r="P197" s="45"/>
      <c r="Q197" s="45"/>
    </row>
    <row r="198" spans="1:17" s="46" customFormat="1" ht="31.2" x14ac:dyDescent="0.3">
      <c r="A198" s="42">
        <v>4</v>
      </c>
      <c r="B198" s="65">
        <v>7</v>
      </c>
      <c r="C198" s="65" t="s">
        <v>708</v>
      </c>
      <c r="D198" s="42"/>
      <c r="E198" s="42"/>
      <c r="F198" s="42"/>
      <c r="G198" s="66"/>
      <c r="H198" s="166" t="s">
        <v>960</v>
      </c>
      <c r="I198" s="167"/>
      <c r="J198" s="40" t="s">
        <v>784</v>
      </c>
      <c r="K198" s="47" t="e">
        <f>#REF!</f>
        <v>#REF!</v>
      </c>
      <c r="L198" s="40" t="s">
        <v>713</v>
      </c>
      <c r="M198" s="20"/>
      <c r="N198" s="30"/>
      <c r="O198" s="41"/>
      <c r="P198" s="45"/>
      <c r="Q198" s="45"/>
    </row>
    <row r="199" spans="1:17" s="27" customFormat="1" ht="30" customHeight="1" x14ac:dyDescent="0.3">
      <c r="A199" s="21">
        <v>5</v>
      </c>
      <c r="B199" s="131"/>
      <c r="C199" s="131"/>
      <c r="D199" s="36"/>
      <c r="E199" s="21"/>
      <c r="F199" s="21"/>
      <c r="G199" s="23"/>
      <c r="H199" s="22" t="s">
        <v>961</v>
      </c>
      <c r="I199" s="21"/>
      <c r="J199" s="22"/>
      <c r="K199" s="24" t="e">
        <f>K200+K203+K206</f>
        <v>#REF!</v>
      </c>
      <c r="L199" s="22" t="s">
        <v>713</v>
      </c>
      <c r="M199" s="20"/>
      <c r="N199" s="30"/>
      <c r="O199" s="41"/>
      <c r="P199" s="26"/>
      <c r="Q199" s="26"/>
    </row>
    <row r="200" spans="1:17" s="27" customFormat="1" ht="15.6" x14ac:dyDescent="0.3">
      <c r="A200" s="21">
        <v>5</v>
      </c>
      <c r="B200" s="131">
        <v>1</v>
      </c>
      <c r="C200" s="21"/>
      <c r="D200" s="36"/>
      <c r="E200" s="21"/>
      <c r="F200" s="21"/>
      <c r="G200" s="23"/>
      <c r="H200" s="22" t="s">
        <v>962</v>
      </c>
      <c r="I200" s="21"/>
      <c r="J200" s="22"/>
      <c r="K200" s="24" t="e">
        <f>K201</f>
        <v>#REF!</v>
      </c>
      <c r="L200" s="22" t="s">
        <v>713</v>
      </c>
      <c r="M200" s="20"/>
      <c r="N200" s="30"/>
      <c r="O200" s="41"/>
      <c r="P200" s="26"/>
      <c r="Q200" s="26"/>
    </row>
    <row r="201" spans="1:17" s="35" customFormat="1" ht="15.6" x14ac:dyDescent="0.3">
      <c r="A201" s="31">
        <v>5</v>
      </c>
      <c r="B201" s="51">
        <v>1</v>
      </c>
      <c r="C201" s="51" t="s">
        <v>963</v>
      </c>
      <c r="D201" s="36"/>
      <c r="E201" s="31"/>
      <c r="F201" s="31"/>
      <c r="G201" s="32"/>
      <c r="H201" s="29" t="s">
        <v>962</v>
      </c>
      <c r="I201" s="31"/>
      <c r="J201" s="29"/>
      <c r="K201" s="33" t="e">
        <f>K202</f>
        <v>#REF!</v>
      </c>
      <c r="L201" s="22" t="s">
        <v>713</v>
      </c>
      <c r="M201" s="20"/>
      <c r="N201" s="30"/>
      <c r="O201" s="41"/>
      <c r="P201" s="34"/>
      <c r="Q201" s="34"/>
    </row>
    <row r="202" spans="1:17" s="46" customFormat="1" ht="15.6" x14ac:dyDescent="0.3">
      <c r="A202" s="42">
        <v>5</v>
      </c>
      <c r="B202" s="65">
        <v>1</v>
      </c>
      <c r="C202" s="65" t="s">
        <v>963</v>
      </c>
      <c r="D202" s="36">
        <v>5</v>
      </c>
      <c r="E202" s="42">
        <v>4</v>
      </c>
      <c r="F202" s="42"/>
      <c r="G202" s="66"/>
      <c r="H202" s="40" t="s">
        <v>964</v>
      </c>
      <c r="I202" s="42"/>
      <c r="J202" s="40"/>
      <c r="K202" s="47" t="e">
        <f>#REF!</f>
        <v>#REF!</v>
      </c>
      <c r="L202" s="22" t="s">
        <v>713</v>
      </c>
      <c r="M202" s="20"/>
      <c r="N202" s="30"/>
      <c r="O202" s="41"/>
      <c r="P202" s="45"/>
      <c r="Q202" s="45" t="e">
        <f>K202</f>
        <v>#REF!</v>
      </c>
    </row>
    <row r="203" spans="1:17" s="27" customFormat="1" ht="15.6" x14ac:dyDescent="0.3">
      <c r="A203" s="21">
        <v>5</v>
      </c>
      <c r="B203" s="131">
        <v>2</v>
      </c>
      <c r="C203" s="21"/>
      <c r="D203" s="36"/>
      <c r="E203" s="21"/>
      <c r="F203" s="21"/>
      <c r="G203" s="23"/>
      <c r="H203" s="22" t="s">
        <v>965</v>
      </c>
      <c r="I203" s="21"/>
      <c r="J203" s="22"/>
      <c r="K203" s="24" t="e">
        <f>K204</f>
        <v>#REF!</v>
      </c>
      <c r="L203" s="22" t="s">
        <v>713</v>
      </c>
      <c r="M203" s="20"/>
      <c r="N203" s="30"/>
      <c r="O203" s="41"/>
      <c r="P203" s="26"/>
      <c r="Q203" s="26"/>
    </row>
    <row r="204" spans="1:17" s="35" customFormat="1" ht="15.6" x14ac:dyDescent="0.3">
      <c r="A204" s="31">
        <v>5</v>
      </c>
      <c r="B204" s="51">
        <v>2</v>
      </c>
      <c r="C204" s="51" t="s">
        <v>963</v>
      </c>
      <c r="D204" s="36"/>
      <c r="E204" s="31"/>
      <c r="F204" s="31"/>
      <c r="G204" s="32"/>
      <c r="H204" s="29" t="s">
        <v>965</v>
      </c>
      <c r="I204" s="31"/>
      <c r="J204" s="29"/>
      <c r="K204" s="33" t="e">
        <f>K205</f>
        <v>#REF!</v>
      </c>
      <c r="L204" s="22" t="s">
        <v>713</v>
      </c>
      <c r="M204" s="20"/>
      <c r="N204" s="30"/>
      <c r="O204" s="41"/>
      <c r="P204" s="34"/>
      <c r="Q204" s="34"/>
    </row>
    <row r="205" spans="1:17" s="46" customFormat="1" ht="15.6" x14ac:dyDescent="0.3">
      <c r="A205" s="42">
        <v>5</v>
      </c>
      <c r="B205" s="65">
        <v>2</v>
      </c>
      <c r="C205" s="65" t="s">
        <v>963</v>
      </c>
      <c r="D205" s="36">
        <v>5</v>
      </c>
      <c r="E205" s="42">
        <v>4</v>
      </c>
      <c r="F205" s="42"/>
      <c r="G205" s="66"/>
      <c r="H205" s="40" t="s">
        <v>964</v>
      </c>
      <c r="I205" s="42"/>
      <c r="J205" s="40"/>
      <c r="K205" s="47" t="e">
        <f>#REF!</f>
        <v>#REF!</v>
      </c>
      <c r="L205" s="22" t="s">
        <v>713</v>
      </c>
      <c r="M205" s="20"/>
      <c r="N205" s="30"/>
      <c r="O205" s="41"/>
      <c r="P205" s="45"/>
      <c r="Q205" s="45"/>
    </row>
    <row r="206" spans="1:17" s="27" customFormat="1" ht="15.6" x14ac:dyDescent="0.3">
      <c r="A206" s="21">
        <v>5</v>
      </c>
      <c r="B206" s="131">
        <v>3</v>
      </c>
      <c r="C206" s="21"/>
      <c r="D206" s="36"/>
      <c r="E206" s="21"/>
      <c r="F206" s="21"/>
      <c r="G206" s="23"/>
      <c r="H206" s="22" t="s">
        <v>966</v>
      </c>
      <c r="I206" s="21"/>
      <c r="J206" s="22"/>
      <c r="K206" s="24" t="e">
        <f>K207</f>
        <v>#REF!</v>
      </c>
      <c r="L206" s="22" t="s">
        <v>713</v>
      </c>
      <c r="M206" s="20"/>
      <c r="N206" s="30"/>
      <c r="O206" s="41"/>
      <c r="P206" s="26"/>
      <c r="Q206" s="26"/>
    </row>
    <row r="207" spans="1:17" s="35" customFormat="1" ht="15.6" x14ac:dyDescent="0.3">
      <c r="A207" s="31">
        <v>5</v>
      </c>
      <c r="B207" s="51">
        <v>3</v>
      </c>
      <c r="C207" s="51" t="s">
        <v>963</v>
      </c>
      <c r="D207" s="36"/>
      <c r="E207" s="31"/>
      <c r="F207" s="31"/>
      <c r="G207" s="32"/>
      <c r="H207" s="29" t="s">
        <v>966</v>
      </c>
      <c r="I207" s="31"/>
      <c r="J207" s="29"/>
      <c r="K207" s="33" t="e">
        <f>K208</f>
        <v>#REF!</v>
      </c>
      <c r="L207" s="29" t="s">
        <v>713</v>
      </c>
      <c r="M207" s="20"/>
      <c r="N207" s="30"/>
      <c r="O207" s="41"/>
      <c r="P207" s="34"/>
      <c r="Q207" s="34"/>
    </row>
    <row r="208" spans="1:17" s="46" customFormat="1" ht="15.6" x14ac:dyDescent="0.3">
      <c r="A208" s="42">
        <v>5</v>
      </c>
      <c r="B208" s="65">
        <v>3</v>
      </c>
      <c r="C208" s="65" t="s">
        <v>963</v>
      </c>
      <c r="D208" s="36">
        <v>5</v>
      </c>
      <c r="E208" s="42">
        <v>4</v>
      </c>
      <c r="F208" s="42"/>
      <c r="G208" s="66"/>
      <c r="H208" s="40" t="s">
        <v>964</v>
      </c>
      <c r="I208" s="42"/>
      <c r="J208" s="40"/>
      <c r="K208" s="47" t="e">
        <f>#REF!</f>
        <v>#REF!</v>
      </c>
      <c r="L208" s="40" t="s">
        <v>713</v>
      </c>
      <c r="M208" s="20"/>
      <c r="N208" s="30"/>
      <c r="O208" s="41"/>
      <c r="P208" s="45"/>
      <c r="Q208" s="45"/>
    </row>
    <row r="209" spans="1:19" s="12" customFormat="1" ht="15.6" x14ac:dyDescent="0.3">
      <c r="A209" s="71"/>
      <c r="B209" s="72"/>
      <c r="C209" s="72"/>
      <c r="D209" s="71"/>
      <c r="E209" s="71"/>
      <c r="F209" s="71"/>
      <c r="G209" s="73"/>
      <c r="H209" s="74"/>
      <c r="I209" s="36"/>
      <c r="J209" s="37"/>
      <c r="K209" s="38"/>
      <c r="L209" s="37"/>
      <c r="M209" s="20"/>
      <c r="N209" s="30"/>
      <c r="O209" s="41"/>
      <c r="P209" s="16"/>
      <c r="Q209" s="16"/>
    </row>
    <row r="210" spans="1:19" s="12" customFormat="1" ht="15.6" x14ac:dyDescent="0.3">
      <c r="A210" s="36"/>
      <c r="B210" s="36"/>
      <c r="C210" s="36"/>
      <c r="D210" s="36"/>
      <c r="E210" s="36"/>
      <c r="F210" s="36"/>
      <c r="G210" s="39"/>
      <c r="H210" s="37"/>
      <c r="I210" s="36"/>
      <c r="J210" s="37"/>
      <c r="K210" s="38"/>
      <c r="L210" s="37"/>
      <c r="M210" s="20"/>
      <c r="N210" s="30"/>
      <c r="O210" s="41"/>
      <c r="P210" s="16"/>
      <c r="Q210" s="16"/>
    </row>
    <row r="211" spans="1:19" s="12" customFormat="1" ht="15.6" x14ac:dyDescent="0.3">
      <c r="A211" s="36"/>
      <c r="B211" s="36"/>
      <c r="C211" s="36"/>
      <c r="D211" s="36"/>
      <c r="E211" s="36"/>
      <c r="F211" s="36"/>
      <c r="G211" s="39"/>
      <c r="H211" s="22" t="s">
        <v>967</v>
      </c>
      <c r="I211" s="36"/>
      <c r="J211" s="37"/>
      <c r="K211" s="38" t="e">
        <f>#REF!</f>
        <v>#REF!</v>
      </c>
      <c r="L211" s="37"/>
      <c r="M211" s="20"/>
      <c r="N211" s="30"/>
      <c r="O211" s="41"/>
      <c r="P211" s="16"/>
      <c r="Q211" s="16"/>
    </row>
    <row r="212" spans="1:19" s="12" customFormat="1" ht="15.6" x14ac:dyDescent="0.3">
      <c r="A212" s="36"/>
      <c r="B212" s="36"/>
      <c r="C212" s="36"/>
      <c r="D212" s="36"/>
      <c r="E212" s="36"/>
      <c r="F212" s="36"/>
      <c r="G212" s="39"/>
      <c r="H212" s="22" t="s">
        <v>968</v>
      </c>
      <c r="I212" s="36"/>
      <c r="J212" s="37"/>
      <c r="K212" s="38" t="e">
        <f>#REF!-#REF!</f>
        <v>#REF!</v>
      </c>
      <c r="L212" s="37"/>
      <c r="M212" s="20"/>
      <c r="N212" s="30"/>
      <c r="O212" s="41"/>
      <c r="P212" s="16"/>
      <c r="Q212" s="16"/>
    </row>
    <row r="213" spans="1:19" s="12" customFormat="1" ht="15.6" x14ac:dyDescent="0.3">
      <c r="A213" s="36"/>
      <c r="B213" s="36"/>
      <c r="C213" s="36"/>
      <c r="D213" s="36"/>
      <c r="E213" s="36"/>
      <c r="F213" s="36"/>
      <c r="G213" s="39"/>
      <c r="H213" s="37"/>
      <c r="I213" s="36"/>
      <c r="J213" s="37"/>
      <c r="K213" s="38"/>
      <c r="L213" s="37"/>
      <c r="M213" s="20"/>
      <c r="N213" s="30"/>
      <c r="O213" s="41"/>
      <c r="P213" s="16"/>
      <c r="Q213" s="16"/>
    </row>
    <row r="214" spans="1:19" s="12" customFormat="1" ht="15.6" x14ac:dyDescent="0.3">
      <c r="A214" s="36"/>
      <c r="B214" s="36"/>
      <c r="C214" s="36"/>
      <c r="D214" s="36">
        <v>6</v>
      </c>
      <c r="E214" s="36"/>
      <c r="F214" s="36"/>
      <c r="G214" s="39"/>
      <c r="H214" s="22" t="s">
        <v>969</v>
      </c>
      <c r="I214" s="36"/>
      <c r="J214" s="37"/>
      <c r="K214" s="38">
        <f>K215-K222</f>
        <v>-95090774.300000012</v>
      </c>
      <c r="L214" s="37" t="s">
        <v>970</v>
      </c>
      <c r="M214" s="20"/>
      <c r="N214" s="30"/>
      <c r="O214" s="41"/>
      <c r="P214" s="16"/>
      <c r="Q214" s="16"/>
    </row>
    <row r="215" spans="1:19" s="12" customFormat="1" ht="15.6" x14ac:dyDescent="0.3">
      <c r="A215" s="36"/>
      <c r="B215" s="36"/>
      <c r="C215" s="36"/>
      <c r="D215" s="36">
        <v>6</v>
      </c>
      <c r="E215" s="36">
        <v>1</v>
      </c>
      <c r="F215" s="36"/>
      <c r="G215" s="39"/>
      <c r="H215" s="22" t="s">
        <v>971</v>
      </c>
      <c r="I215" s="36"/>
      <c r="J215" s="37"/>
      <c r="K215" s="38">
        <f>K216+K218+K220</f>
        <v>35193025.699999996</v>
      </c>
      <c r="L215" s="37" t="s">
        <v>970</v>
      </c>
      <c r="M215" s="20"/>
      <c r="N215" s="30"/>
      <c r="O215" s="41"/>
      <c r="P215" s="16"/>
      <c r="Q215" s="16"/>
    </row>
    <row r="216" spans="1:19" s="83" customFormat="1" ht="15.6" x14ac:dyDescent="0.3">
      <c r="A216" s="79"/>
      <c r="B216" s="79"/>
      <c r="C216" s="79"/>
      <c r="D216" s="36">
        <v>6</v>
      </c>
      <c r="E216" s="79">
        <v>1</v>
      </c>
      <c r="F216" s="79">
        <v>1</v>
      </c>
      <c r="G216" s="80"/>
      <c r="H216" s="81" t="s">
        <v>972</v>
      </c>
      <c r="I216" s="79"/>
      <c r="J216" s="81"/>
      <c r="K216" s="82">
        <f>K217</f>
        <v>35193025.699999996</v>
      </c>
      <c r="L216" s="37" t="s">
        <v>970</v>
      </c>
      <c r="M216" s="20"/>
      <c r="N216" s="30"/>
      <c r="O216" s="41"/>
      <c r="P216" s="136"/>
      <c r="Q216" s="136"/>
      <c r="R216" s="12"/>
      <c r="S216" s="12"/>
    </row>
    <row r="217" spans="1:19" s="12" customFormat="1" ht="15.6" x14ac:dyDescent="0.3">
      <c r="A217" s="36"/>
      <c r="B217" s="36"/>
      <c r="C217" s="36"/>
      <c r="D217" s="36">
        <v>6</v>
      </c>
      <c r="E217" s="36">
        <v>1</v>
      </c>
      <c r="F217" s="36">
        <v>1</v>
      </c>
      <c r="G217" s="39">
        <v>1</v>
      </c>
      <c r="H217" s="37" t="s">
        <v>972</v>
      </c>
      <c r="I217" s="36"/>
      <c r="J217" s="37"/>
      <c r="K217" s="38">
        <f>'[2]SILV DD'!C8+'[2]SILV ADD'!F8+'[2]SILP PAD'!F8+'[2]SILV BHP BHR'!C8+[2]lain2!F9</f>
        <v>35193025.699999996</v>
      </c>
      <c r="L217" s="37" t="s">
        <v>970</v>
      </c>
      <c r="M217" s="20"/>
      <c r="N217" s="30"/>
      <c r="O217" s="41"/>
      <c r="P217" s="16"/>
      <c r="Q217" s="16"/>
    </row>
    <row r="218" spans="1:19" s="83" customFormat="1" ht="15.6" x14ac:dyDescent="0.3">
      <c r="A218" s="79"/>
      <c r="B218" s="79"/>
      <c r="C218" s="79"/>
      <c r="D218" s="36">
        <v>6</v>
      </c>
      <c r="E218" s="79">
        <v>1</v>
      </c>
      <c r="F218" s="79">
        <v>2</v>
      </c>
      <c r="G218" s="80"/>
      <c r="H218" s="168" t="s">
        <v>973</v>
      </c>
      <c r="I218" s="79"/>
      <c r="J218" s="81"/>
      <c r="K218" s="82">
        <f>K219</f>
        <v>0</v>
      </c>
      <c r="L218" s="81"/>
      <c r="M218" s="20"/>
      <c r="N218" s="30"/>
      <c r="O218" s="41"/>
      <c r="P218" s="136"/>
      <c r="Q218" s="136"/>
      <c r="R218" s="12"/>
      <c r="S218" s="12"/>
    </row>
    <row r="219" spans="1:19" s="12" customFormat="1" ht="15.6" x14ac:dyDescent="0.3">
      <c r="A219" s="36"/>
      <c r="B219" s="36"/>
      <c r="C219" s="36"/>
      <c r="D219" s="36">
        <v>6</v>
      </c>
      <c r="E219" s="36">
        <v>1</v>
      </c>
      <c r="F219" s="36">
        <v>2</v>
      </c>
      <c r="G219" s="39">
        <v>1</v>
      </c>
      <c r="H219" s="169" t="s">
        <v>973</v>
      </c>
      <c r="I219" s="36"/>
      <c r="J219" s="37"/>
      <c r="K219" s="38"/>
      <c r="L219" s="37"/>
      <c r="M219" s="20"/>
      <c r="N219" s="30"/>
      <c r="O219" s="41"/>
      <c r="P219" s="16"/>
      <c r="Q219" s="16"/>
    </row>
    <row r="220" spans="1:19" s="83" customFormat="1" ht="15.6" x14ac:dyDescent="0.3">
      <c r="A220" s="79"/>
      <c r="B220" s="79"/>
      <c r="C220" s="79"/>
      <c r="D220" s="36">
        <v>6</v>
      </c>
      <c r="E220" s="79">
        <v>1</v>
      </c>
      <c r="F220" s="79">
        <v>3</v>
      </c>
      <c r="G220" s="80"/>
      <c r="H220" s="81" t="s">
        <v>974</v>
      </c>
      <c r="I220" s="79"/>
      <c r="J220" s="81"/>
      <c r="K220" s="82">
        <f>K221</f>
        <v>0</v>
      </c>
      <c r="L220" s="81"/>
      <c r="M220" s="20"/>
      <c r="N220" s="30"/>
      <c r="O220" s="41"/>
      <c r="P220" s="136"/>
      <c r="Q220" s="136"/>
      <c r="R220" s="12"/>
      <c r="S220" s="12"/>
    </row>
    <row r="221" spans="1:19" s="12" customFormat="1" ht="15.6" x14ac:dyDescent="0.3">
      <c r="A221" s="36"/>
      <c r="B221" s="36"/>
      <c r="C221" s="36"/>
      <c r="D221" s="36">
        <v>6</v>
      </c>
      <c r="E221" s="36">
        <v>1</v>
      </c>
      <c r="F221" s="36">
        <v>3</v>
      </c>
      <c r="G221" s="39">
        <v>1</v>
      </c>
      <c r="H221" s="37" t="s">
        <v>974</v>
      </c>
      <c r="I221" s="36"/>
      <c r="J221" s="37"/>
      <c r="K221" s="38"/>
      <c r="L221" s="37"/>
      <c r="M221" s="20"/>
      <c r="N221" s="30"/>
      <c r="O221" s="41"/>
      <c r="P221" s="16"/>
      <c r="Q221" s="16"/>
    </row>
    <row r="222" spans="1:19" s="12" customFormat="1" ht="15.6" x14ac:dyDescent="0.3">
      <c r="A222" s="36"/>
      <c r="B222" s="36"/>
      <c r="C222" s="36"/>
      <c r="D222" s="36">
        <v>6</v>
      </c>
      <c r="E222" s="36">
        <v>2</v>
      </c>
      <c r="F222" s="36"/>
      <c r="G222" s="39"/>
      <c r="H222" s="22" t="s">
        <v>975</v>
      </c>
      <c r="I222" s="36"/>
      <c r="J222" s="37"/>
      <c r="K222" s="38">
        <f>K223+K225</f>
        <v>130283800</v>
      </c>
      <c r="L222" s="37"/>
      <c r="M222" s="20"/>
      <c r="N222" s="30"/>
      <c r="O222" s="41"/>
      <c r="P222" s="16"/>
      <c r="Q222" s="45">
        <f>K222</f>
        <v>130283800</v>
      </c>
    </row>
    <row r="223" spans="1:19" s="83" customFormat="1" ht="15.6" x14ac:dyDescent="0.3">
      <c r="A223" s="79"/>
      <c r="B223" s="79"/>
      <c r="C223" s="79"/>
      <c r="D223" s="36">
        <v>6</v>
      </c>
      <c r="E223" s="79">
        <v>2</v>
      </c>
      <c r="F223" s="79">
        <v>1</v>
      </c>
      <c r="G223" s="80"/>
      <c r="H223" s="81" t="s">
        <v>976</v>
      </c>
      <c r="I223" s="79"/>
      <c r="J223" s="81"/>
      <c r="K223" s="82">
        <f>K224</f>
        <v>0</v>
      </c>
      <c r="L223" s="81"/>
      <c r="M223" s="20"/>
      <c r="N223" s="30"/>
      <c r="O223" s="41"/>
      <c r="P223" s="136"/>
      <c r="Q223" s="136"/>
      <c r="R223" s="12"/>
      <c r="S223" s="12"/>
    </row>
    <row r="224" spans="1:19" s="12" customFormat="1" ht="15.6" x14ac:dyDescent="0.3">
      <c r="A224" s="36"/>
      <c r="B224" s="36"/>
      <c r="C224" s="36"/>
      <c r="D224" s="36">
        <v>6</v>
      </c>
      <c r="E224" s="36">
        <v>2</v>
      </c>
      <c r="F224" s="36">
        <v>1</v>
      </c>
      <c r="G224" s="39">
        <v>1</v>
      </c>
      <c r="H224" s="37" t="s">
        <v>976</v>
      </c>
      <c r="I224" s="36"/>
      <c r="J224" s="37"/>
      <c r="K224" s="38"/>
      <c r="L224" s="37"/>
      <c r="M224" s="20"/>
      <c r="N224" s="30"/>
      <c r="O224" s="41"/>
      <c r="P224" s="16"/>
      <c r="Q224" s="16"/>
    </row>
    <row r="225" spans="1:27" s="83" customFormat="1" ht="15.6" x14ac:dyDescent="0.3">
      <c r="A225" s="79"/>
      <c r="B225" s="79"/>
      <c r="C225" s="79"/>
      <c r="D225" s="36">
        <v>6</v>
      </c>
      <c r="E225" s="79">
        <v>2</v>
      </c>
      <c r="F225" s="79">
        <v>2</v>
      </c>
      <c r="G225" s="80"/>
      <c r="H225" s="81" t="s">
        <v>977</v>
      </c>
      <c r="I225" s="79"/>
      <c r="J225" s="81"/>
      <c r="K225" s="82">
        <f>K226</f>
        <v>130283800</v>
      </c>
      <c r="L225" s="37"/>
      <c r="M225" s="20"/>
      <c r="N225" s="30"/>
      <c r="O225" s="41"/>
      <c r="P225" s="136"/>
      <c r="Q225" s="136"/>
      <c r="R225" s="18"/>
      <c r="S225" s="18"/>
    </row>
    <row r="226" spans="1:27" s="12" customFormat="1" ht="15.6" x14ac:dyDescent="0.3">
      <c r="A226" s="36"/>
      <c r="B226" s="36"/>
      <c r="C226" s="36"/>
      <c r="D226" s="36">
        <v>6</v>
      </c>
      <c r="E226" s="36">
        <v>2</v>
      </c>
      <c r="F226" s="36">
        <v>2</v>
      </c>
      <c r="G226" s="39">
        <v>1</v>
      </c>
      <c r="H226" s="37" t="s">
        <v>977</v>
      </c>
      <c r="I226" s="36"/>
      <c r="J226" s="37"/>
      <c r="K226" s="38">
        <f>[2]DD!K203</f>
        <v>130283800</v>
      </c>
      <c r="L226" s="37"/>
      <c r="M226" s="20"/>
      <c r="N226" s="30"/>
      <c r="O226" s="41"/>
      <c r="P226" s="16"/>
      <c r="Q226" s="16"/>
      <c r="R226" s="18"/>
      <c r="S226" s="18"/>
    </row>
    <row r="227" spans="1:27" s="12" customFormat="1" ht="18" customHeight="1" x14ac:dyDescent="0.3">
      <c r="A227" s="36"/>
      <c r="B227" s="36"/>
      <c r="C227" s="36"/>
      <c r="D227" s="36"/>
      <c r="E227" s="36"/>
      <c r="F227" s="36"/>
      <c r="G227" s="39"/>
      <c r="H227" s="37"/>
      <c r="I227" s="36"/>
      <c r="J227" s="37"/>
      <c r="K227" s="38"/>
      <c r="L227" s="37"/>
      <c r="M227" s="20"/>
      <c r="N227" s="30"/>
      <c r="O227" s="41"/>
      <c r="P227" s="16"/>
      <c r="Q227" s="16"/>
    </row>
    <row r="228" spans="1:27" s="176" customFormat="1" ht="32.25" customHeight="1" x14ac:dyDescent="0.3">
      <c r="A228" s="170"/>
      <c r="B228" s="170"/>
      <c r="C228" s="170"/>
      <c r="D228" s="170"/>
      <c r="E228" s="170"/>
      <c r="F228" s="170"/>
      <c r="G228" s="171"/>
      <c r="H228" s="172" t="s">
        <v>978</v>
      </c>
      <c r="I228" s="170"/>
      <c r="J228" s="172"/>
      <c r="K228" s="173">
        <f>K215-K222</f>
        <v>-95090774.300000012</v>
      </c>
      <c r="L228" s="172"/>
      <c r="M228" s="20"/>
      <c r="N228" s="30"/>
      <c r="O228" s="41"/>
      <c r="P228" s="174"/>
      <c r="Q228" s="174"/>
      <c r="R228" s="175"/>
      <c r="S228" s="175"/>
    </row>
    <row r="229" spans="1:27" s="176" customFormat="1" ht="20.100000000000001" customHeight="1" x14ac:dyDescent="0.3">
      <c r="A229" s="177"/>
      <c r="B229" s="178"/>
      <c r="C229" s="178"/>
      <c r="D229" s="178"/>
      <c r="E229" s="178"/>
      <c r="F229" s="178"/>
      <c r="G229" s="171"/>
      <c r="H229" s="178" t="s">
        <v>979</v>
      </c>
      <c r="I229" s="170"/>
      <c r="J229" s="178"/>
      <c r="K229" s="173" t="e">
        <f>K212+K228</f>
        <v>#REF!</v>
      </c>
      <c r="L229" s="178"/>
      <c r="M229" s="20"/>
      <c r="N229" s="30"/>
      <c r="O229" s="41"/>
      <c r="P229" s="174"/>
      <c r="Q229" s="174"/>
    </row>
    <row r="230" spans="1:27" s="12" customFormat="1" ht="15.6" x14ac:dyDescent="0.3">
      <c r="A230" s="179"/>
      <c r="B230" s="180"/>
      <c r="C230" s="180"/>
      <c r="D230" s="180"/>
      <c r="E230" s="180"/>
      <c r="F230" s="180"/>
      <c r="G230" s="181"/>
      <c r="H230" s="180"/>
      <c r="I230" s="182"/>
      <c r="J230" s="180"/>
      <c r="K230" s="194" t="s">
        <v>980</v>
      </c>
      <c r="L230" s="194"/>
      <c r="M230" s="20"/>
      <c r="N230" s="30"/>
      <c r="O230" s="20"/>
      <c r="P230" s="16"/>
      <c r="Q230" s="16"/>
    </row>
    <row r="231" spans="1:27" s="12" customFormat="1" ht="15.6" x14ac:dyDescent="0.3">
      <c r="A231" s="179"/>
      <c r="B231" s="180"/>
      <c r="C231" s="180"/>
      <c r="D231" s="180"/>
      <c r="E231" s="180"/>
      <c r="F231" s="180"/>
      <c r="G231" s="181"/>
      <c r="H231" s="180"/>
      <c r="I231" s="182"/>
      <c r="J231" s="180"/>
      <c r="K231" s="194" t="s">
        <v>981</v>
      </c>
      <c r="L231" s="194"/>
      <c r="M231" s="20"/>
      <c r="N231" s="30"/>
      <c r="O231" s="20"/>
      <c r="P231" s="16"/>
      <c r="Q231" s="16"/>
    </row>
    <row r="232" spans="1:27" s="12" customFormat="1" ht="15.6" x14ac:dyDescent="0.3">
      <c r="A232" s="179"/>
      <c r="B232" s="180"/>
      <c r="C232" s="180"/>
      <c r="D232" s="180"/>
      <c r="E232" s="180"/>
      <c r="F232" s="180"/>
      <c r="G232" s="181"/>
      <c r="H232" s="180"/>
      <c r="I232" s="182"/>
      <c r="J232" s="180"/>
      <c r="K232" s="183"/>
      <c r="L232" s="182"/>
      <c r="M232" s="20"/>
      <c r="N232" s="30"/>
      <c r="O232" s="20"/>
      <c r="P232" s="16"/>
      <c r="Q232" s="16"/>
    </row>
    <row r="233" spans="1:27" s="12" customFormat="1" ht="15.6" x14ac:dyDescent="0.3">
      <c r="A233" s="179"/>
      <c r="B233" s="180"/>
      <c r="C233" s="180"/>
      <c r="D233" s="180"/>
      <c r="E233" s="180"/>
      <c r="F233" s="180"/>
      <c r="G233" s="181"/>
      <c r="H233" s="180"/>
      <c r="I233" s="182"/>
      <c r="J233" s="180"/>
      <c r="K233" s="183">
        <v>23904346.699999999</v>
      </c>
      <c r="L233" s="182"/>
      <c r="M233" s="20"/>
      <c r="N233" s="30"/>
      <c r="O233" s="20"/>
      <c r="P233" s="16"/>
      <c r="Q233" s="16"/>
    </row>
    <row r="234" spans="1:27" s="12" customFormat="1" ht="15.6" x14ac:dyDescent="0.3">
      <c r="A234" s="179"/>
      <c r="B234" s="180"/>
      <c r="C234" s="180"/>
      <c r="D234" s="180"/>
      <c r="E234" s="180"/>
      <c r="F234" s="180"/>
      <c r="G234" s="181"/>
      <c r="H234" s="180"/>
      <c r="I234" s="182"/>
      <c r="J234" s="180"/>
      <c r="K234" s="183" t="e">
        <f>K233-K229</f>
        <v>#REF!</v>
      </c>
      <c r="L234" s="182"/>
      <c r="M234" s="20"/>
      <c r="N234" s="30"/>
      <c r="O234" s="20"/>
      <c r="P234" s="16"/>
      <c r="Q234" s="16"/>
    </row>
    <row r="235" spans="1:27" s="12" customFormat="1" ht="15.6" x14ac:dyDescent="0.3">
      <c r="A235" s="179"/>
      <c r="B235" s="180"/>
      <c r="C235" s="180"/>
      <c r="D235" s="180"/>
      <c r="E235" s="180"/>
      <c r="F235" s="180"/>
      <c r="G235" s="181"/>
      <c r="H235" s="180"/>
      <c r="I235" s="182"/>
      <c r="J235" s="180"/>
      <c r="K235" s="183"/>
      <c r="L235" s="182"/>
      <c r="M235" s="20"/>
      <c r="N235" s="30"/>
      <c r="O235" s="20"/>
      <c r="P235" s="16"/>
      <c r="Q235" s="16"/>
    </row>
    <row r="236" spans="1:27" s="12" customFormat="1" ht="15.6" x14ac:dyDescent="0.3">
      <c r="G236" s="13"/>
      <c r="I236" s="14"/>
      <c r="K236" s="195" t="s">
        <v>982</v>
      </c>
      <c r="L236" s="195"/>
      <c r="M236" s="184"/>
      <c r="N236" s="30"/>
      <c r="O236" s="184"/>
      <c r="P236" s="16"/>
      <c r="Q236" s="16"/>
    </row>
    <row r="237" spans="1:27" s="12" customFormat="1" ht="15.6" x14ac:dyDescent="0.3">
      <c r="G237" s="13"/>
      <c r="I237" s="14"/>
      <c r="K237" s="183"/>
      <c r="L237" s="182"/>
      <c r="M237" s="20"/>
      <c r="N237" s="30"/>
      <c r="O237" s="20"/>
      <c r="P237" s="16"/>
      <c r="Q237" s="16"/>
    </row>
    <row r="238" spans="1:27" s="12" customFormat="1" ht="15.6" x14ac:dyDescent="0.3">
      <c r="G238" s="13"/>
      <c r="H238" s="12" t="s">
        <v>714</v>
      </c>
      <c r="I238" s="14"/>
      <c r="K238" s="183">
        <f>'[3]Kumpulan Silpa'!C10</f>
        <v>861347.09999999986</v>
      </c>
      <c r="L238" s="185"/>
      <c r="M238" s="20"/>
      <c r="N238" s="30"/>
      <c r="O238" s="20"/>
      <c r="P238" s="16"/>
      <c r="Q238" s="16"/>
    </row>
    <row r="239" spans="1:27" s="4" customFormat="1" ht="15.6" x14ac:dyDescent="0.25">
      <c r="A239" s="2"/>
      <c r="B239" s="2"/>
      <c r="C239" s="2"/>
      <c r="D239" s="2"/>
      <c r="E239" s="2"/>
      <c r="F239" s="2"/>
      <c r="G239" s="2"/>
      <c r="H239" s="2" t="s">
        <v>983</v>
      </c>
      <c r="I239" s="9"/>
      <c r="J239" s="2"/>
      <c r="K239" s="186">
        <f>'[3]Kumpulan Silpa'!C7</f>
        <v>273056.87999999896</v>
      </c>
      <c r="L239" s="187"/>
      <c r="M239" s="3"/>
      <c r="N239" s="30"/>
      <c r="O239" s="3"/>
      <c r="P239" s="3"/>
      <c r="Q239" s="3"/>
      <c r="T239" s="2"/>
      <c r="U239" s="2"/>
      <c r="V239" s="2"/>
      <c r="W239" s="2"/>
      <c r="X239" s="2"/>
      <c r="Y239" s="2"/>
      <c r="Z239" s="2"/>
      <c r="AA239" s="2"/>
    </row>
    <row r="240" spans="1:27" s="4" customFormat="1" ht="15.6" x14ac:dyDescent="0.25">
      <c r="A240" s="2"/>
      <c r="B240" s="2"/>
      <c r="C240" s="2"/>
      <c r="D240" s="2"/>
      <c r="E240" s="2"/>
      <c r="F240" s="2"/>
      <c r="G240" s="2"/>
      <c r="H240" s="2" t="s">
        <v>984</v>
      </c>
      <c r="I240" s="9"/>
      <c r="J240" s="2"/>
      <c r="K240" s="188">
        <f>'[3]SILV ADD'!H44</f>
        <v>10</v>
      </c>
      <c r="L240" s="189"/>
      <c r="M240" s="3"/>
      <c r="N240" s="30"/>
      <c r="O240" s="3"/>
      <c r="P240" s="3"/>
      <c r="Q240" s="3"/>
      <c r="T240" s="2"/>
      <c r="U240" s="2"/>
      <c r="V240" s="2"/>
      <c r="W240" s="2"/>
      <c r="X240" s="2"/>
      <c r="Y240" s="2"/>
      <c r="Z240" s="2"/>
      <c r="AA240" s="2"/>
    </row>
    <row r="241" spans="1:27" s="4" customFormat="1" ht="15.6" x14ac:dyDescent="0.25">
      <c r="A241" s="2"/>
      <c r="B241" s="2"/>
      <c r="C241" s="2"/>
      <c r="D241" s="2"/>
      <c r="E241" s="2"/>
      <c r="F241" s="2"/>
      <c r="G241" s="2"/>
      <c r="H241" s="2" t="s">
        <v>985</v>
      </c>
      <c r="I241" s="9"/>
      <c r="J241" s="2"/>
      <c r="K241" s="188">
        <f>'[3]BHP PPR'!H40</f>
        <v>0</v>
      </c>
      <c r="L241" s="189"/>
      <c r="M241" s="3"/>
      <c r="N241" s="30"/>
      <c r="O241" s="3"/>
      <c r="P241" s="3"/>
      <c r="Q241" s="3"/>
      <c r="T241" s="2"/>
      <c r="U241" s="2"/>
      <c r="V241" s="2"/>
      <c r="W241" s="2"/>
      <c r="X241" s="2"/>
      <c r="Y241" s="2"/>
      <c r="Z241" s="2"/>
      <c r="AA241" s="2"/>
    </row>
    <row r="242" spans="1:27" s="4" customFormat="1" ht="15.6" x14ac:dyDescent="0.25">
      <c r="A242" s="2"/>
      <c r="B242" s="2"/>
      <c r="C242" s="2"/>
      <c r="D242" s="2"/>
      <c r="E242" s="2"/>
      <c r="F242" s="2"/>
      <c r="G242" s="2"/>
      <c r="H242" s="2"/>
      <c r="I242" s="9"/>
      <c r="J242" s="2"/>
      <c r="K242" s="190">
        <f>SUM(K238:K241)</f>
        <v>1134413.9799999988</v>
      </c>
      <c r="L242" s="187"/>
      <c r="M242" s="3"/>
      <c r="N242" s="30"/>
      <c r="O242" s="3"/>
      <c r="P242" s="3"/>
      <c r="Q242" s="3"/>
      <c r="T242" s="2"/>
      <c r="U242" s="2"/>
      <c r="V242" s="2"/>
      <c r="W242" s="2"/>
      <c r="X242" s="2"/>
      <c r="Y242" s="2"/>
      <c r="Z242" s="2"/>
      <c r="AA242" s="2"/>
    </row>
    <row r="243" spans="1:27" s="4" customFormat="1" ht="15.6" x14ac:dyDescent="0.25">
      <c r="A243" s="2"/>
      <c r="B243" s="2"/>
      <c r="C243" s="2"/>
      <c r="D243" s="2"/>
      <c r="E243" s="2"/>
      <c r="F243" s="2"/>
      <c r="G243" s="2"/>
      <c r="H243" s="2"/>
      <c r="I243" s="9"/>
      <c r="J243" s="2"/>
      <c r="K243" s="188"/>
      <c r="L243" s="187"/>
      <c r="M243" s="3"/>
      <c r="N243" s="30"/>
      <c r="O243" s="3"/>
      <c r="P243" s="3"/>
      <c r="Q243" s="3"/>
      <c r="T243" s="2"/>
      <c r="U243" s="2"/>
      <c r="V243" s="2"/>
      <c r="W243" s="2"/>
      <c r="X243" s="2"/>
      <c r="Y243" s="2"/>
      <c r="Z243" s="2"/>
      <c r="AA243" s="2"/>
    </row>
    <row r="244" spans="1:27" s="4" customFormat="1" x14ac:dyDescent="0.25">
      <c r="A244" s="2"/>
      <c r="B244" s="2"/>
      <c r="C244" s="2"/>
      <c r="D244" s="2"/>
      <c r="E244" s="2"/>
      <c r="F244" s="2"/>
      <c r="G244" s="2"/>
      <c r="H244" s="2"/>
      <c r="I244" s="9"/>
      <c r="J244" s="2"/>
      <c r="K244" s="7"/>
      <c r="L244" s="11"/>
      <c r="M244" s="3"/>
      <c r="N244" s="3"/>
      <c r="O244" s="3"/>
      <c r="P244" s="3"/>
      <c r="Q244" s="3"/>
      <c r="T244" s="2"/>
      <c r="U244" s="2"/>
      <c r="V244" s="2"/>
      <c r="W244" s="2"/>
      <c r="X244" s="2"/>
      <c r="Y244" s="2"/>
      <c r="Z244" s="2"/>
      <c r="AA244" s="2"/>
    </row>
    <row r="253" spans="1:27" x14ac:dyDescent="0.25">
      <c r="M253" s="3" t="s">
        <v>713</v>
      </c>
      <c r="N253" s="3" t="s">
        <v>8</v>
      </c>
      <c r="O253" s="3" t="s">
        <v>77</v>
      </c>
      <c r="P253" s="3" t="s">
        <v>986</v>
      </c>
      <c r="Q253" s="3" t="s">
        <v>756</v>
      </c>
      <c r="R253" s="4" t="s">
        <v>827</v>
      </c>
      <c r="S253" s="4" t="s">
        <v>774</v>
      </c>
      <c r="T253" s="2" t="s">
        <v>715</v>
      </c>
    </row>
    <row r="254" spans="1:27" x14ac:dyDescent="0.25">
      <c r="L254" s="191">
        <f>SUM(M254:U254)</f>
        <v>749.79999999981374</v>
      </c>
      <c r="M254" s="3">
        <f>[2]DD!L205</f>
        <v>0</v>
      </c>
      <c r="N254" s="3">
        <f>[2]ADD25!H220</f>
        <v>725</v>
      </c>
      <c r="O254" s="3">
        <f>'[2]PAD1 '!I113</f>
        <v>33</v>
      </c>
      <c r="P254" s="3">
        <f>'[2]BHP PPR'!H38</f>
        <v>0</v>
      </c>
      <c r="Q254" s="3">
        <f>'[2]SILV ADD'!H45</f>
        <v>-8.2000000001862645</v>
      </c>
      <c r="R254" s="192">
        <f>'[2]SILV DD'!E34</f>
        <v>0</v>
      </c>
      <c r="S254" s="4">
        <f>'[2]SILP PAD'!H82</f>
        <v>0</v>
      </c>
    </row>
    <row r="256" spans="1:27" x14ac:dyDescent="0.25">
      <c r="L256" s="11" t="e">
        <f>L254-K229</f>
        <v>#REF!</v>
      </c>
    </row>
  </sheetData>
  <mergeCells count="16">
    <mergeCell ref="A8:L8"/>
    <mergeCell ref="I1:K1"/>
    <mergeCell ref="I2:L2"/>
    <mergeCell ref="I3:K3"/>
    <mergeCell ref="I5:L5"/>
    <mergeCell ref="I6:L6"/>
    <mergeCell ref="K230:L230"/>
    <mergeCell ref="K231:L231"/>
    <mergeCell ref="K236:L236"/>
    <mergeCell ref="A9:L9"/>
    <mergeCell ref="A10:L10"/>
    <mergeCell ref="A12:G13"/>
    <mergeCell ref="H12:H13"/>
    <mergeCell ref="I12:J12"/>
    <mergeCell ref="K12:K13"/>
    <mergeCell ref="L12:L13"/>
  </mergeCells>
  <printOptions horizontalCentered="1"/>
  <pageMargins left="0.47244094488188981" right="0.19685039370078741" top="0.9055118110236221" bottom="0.78740157480314965" header="0.31496062992125984" footer="0.31496062992125984"/>
  <pageSetup paperSize="10000" scale="66" orientation="landscape" horizontalDpi="4294967293" r:id="rId1"/>
  <rowBreaks count="1" manualBreakCount="1">
    <brk id="13" max="16383" man="1"/>
  </rowBreaks>
  <colBreaks count="1" manualBreakCount="1">
    <brk id="12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9730-2C1A-4A79-9B1A-293E28B5DF38}">
  <dimension ref="A1:K306"/>
  <sheetViews>
    <sheetView topLeftCell="A301" workbookViewId="0">
      <selection activeCell="F13" sqref="A1:K306"/>
    </sheetView>
  </sheetViews>
  <sheetFormatPr defaultRowHeight="14.4" x14ac:dyDescent="0.3"/>
  <cols>
    <col min="2" max="2" width="43.44140625" customWidth="1"/>
    <col min="4" max="5" width="15.6640625" customWidth="1"/>
    <col min="6" max="6" width="18.33203125" customWidth="1"/>
    <col min="7" max="7" width="14.109375" customWidth="1"/>
    <col min="8" max="8" width="32.6640625" customWidth="1"/>
    <col min="9" max="9" width="7.33203125" style="193" customWidth="1"/>
    <col min="10" max="10" width="7.77734375" style="193" customWidth="1"/>
    <col min="11" max="11" width="6.21875" style="193" customWidth="1"/>
  </cols>
  <sheetData>
    <row r="1" spans="1:11" x14ac:dyDescent="0.3">
      <c r="A1" t="s">
        <v>0</v>
      </c>
      <c r="B1" t="s">
        <v>1142</v>
      </c>
      <c r="C1" t="s">
        <v>1</v>
      </c>
      <c r="D1" t="s">
        <v>2</v>
      </c>
      <c r="E1" t="s">
        <v>661</v>
      </c>
      <c r="F1" t="s">
        <v>3</v>
      </c>
      <c r="G1" t="s">
        <v>4</v>
      </c>
      <c r="H1" t="s">
        <v>343</v>
      </c>
      <c r="I1" s="193" t="s">
        <v>987</v>
      </c>
      <c r="J1" s="193" t="s">
        <v>1143</v>
      </c>
      <c r="K1" s="193" t="s">
        <v>1137</v>
      </c>
    </row>
    <row r="2" spans="1:11" x14ac:dyDescent="0.3">
      <c r="A2" t="s">
        <v>5</v>
      </c>
      <c r="B2" t="s">
        <v>6</v>
      </c>
      <c r="C2">
        <v>12</v>
      </c>
      <c r="D2" t="s">
        <v>7</v>
      </c>
      <c r="E2">
        <f>F2/C2</f>
        <v>2621000</v>
      </c>
      <c r="F2">
        <v>31452000</v>
      </c>
      <c r="G2" t="s">
        <v>8</v>
      </c>
      <c r="H2" t="s">
        <v>720</v>
      </c>
      <c r="I2" s="193" t="s">
        <v>718</v>
      </c>
      <c r="J2" s="193" t="s">
        <v>692</v>
      </c>
      <c r="K2" s="193" t="s">
        <v>686</v>
      </c>
    </row>
    <row r="3" spans="1:11" x14ac:dyDescent="0.3">
      <c r="A3" t="s">
        <v>9</v>
      </c>
      <c r="B3" t="s">
        <v>10</v>
      </c>
      <c r="C3">
        <v>12</v>
      </c>
      <c r="D3" t="s">
        <v>7</v>
      </c>
      <c r="E3">
        <f t="shared" ref="E3:E66" si="0">F3/C3</f>
        <v>600000</v>
      </c>
      <c r="F3">
        <v>7200000</v>
      </c>
      <c r="G3" t="s">
        <v>8</v>
      </c>
      <c r="H3" t="s">
        <v>721</v>
      </c>
      <c r="I3" s="193" t="s">
        <v>718</v>
      </c>
      <c r="J3" s="193" t="s">
        <v>692</v>
      </c>
      <c r="K3" s="193" t="s">
        <v>686</v>
      </c>
    </row>
    <row r="4" spans="1:11" x14ac:dyDescent="0.3">
      <c r="A4" t="s">
        <v>11</v>
      </c>
      <c r="B4" t="s">
        <v>12</v>
      </c>
      <c r="C4">
        <v>12</v>
      </c>
      <c r="D4" t="s">
        <v>13</v>
      </c>
      <c r="E4">
        <f t="shared" si="0"/>
        <v>2402500</v>
      </c>
      <c r="F4">
        <v>28830000</v>
      </c>
      <c r="G4" t="s">
        <v>8</v>
      </c>
      <c r="H4" t="s">
        <v>988</v>
      </c>
      <c r="I4" s="193" t="s">
        <v>722</v>
      </c>
      <c r="J4" s="193" t="s">
        <v>692</v>
      </c>
      <c r="K4" s="193" t="s">
        <v>686</v>
      </c>
    </row>
    <row r="5" spans="1:11" x14ac:dyDescent="0.3">
      <c r="A5" t="s">
        <v>14</v>
      </c>
      <c r="B5" t="s">
        <v>15</v>
      </c>
      <c r="C5">
        <v>12</v>
      </c>
      <c r="D5" t="s">
        <v>16</v>
      </c>
      <c r="E5">
        <f t="shared" si="0"/>
        <v>2184000</v>
      </c>
      <c r="F5">
        <v>26208000</v>
      </c>
      <c r="G5" t="s">
        <v>8</v>
      </c>
      <c r="H5" t="s">
        <v>988</v>
      </c>
      <c r="I5" s="193" t="s">
        <v>722</v>
      </c>
      <c r="J5" s="193" t="s">
        <v>692</v>
      </c>
      <c r="K5" s="193" t="s">
        <v>686</v>
      </c>
    </row>
    <row r="6" spans="1:11" x14ac:dyDescent="0.3">
      <c r="A6" t="s">
        <v>17</v>
      </c>
      <c r="B6" t="s">
        <v>18</v>
      </c>
      <c r="C6">
        <v>12</v>
      </c>
      <c r="D6" t="s">
        <v>16</v>
      </c>
      <c r="E6">
        <f t="shared" si="0"/>
        <v>2184000</v>
      </c>
      <c r="F6">
        <v>26208000</v>
      </c>
      <c r="G6" t="s">
        <v>8</v>
      </c>
      <c r="H6" t="s">
        <v>988</v>
      </c>
      <c r="I6" s="193" t="s">
        <v>722</v>
      </c>
      <c r="J6" s="193" t="s">
        <v>692</v>
      </c>
      <c r="K6" s="193" t="s">
        <v>686</v>
      </c>
    </row>
    <row r="7" spans="1:11" x14ac:dyDescent="0.3">
      <c r="A7" t="s">
        <v>19</v>
      </c>
      <c r="B7" t="s">
        <v>20</v>
      </c>
      <c r="C7">
        <v>12</v>
      </c>
      <c r="D7" t="s">
        <v>16</v>
      </c>
      <c r="E7">
        <f t="shared" si="0"/>
        <v>2184000</v>
      </c>
      <c r="F7">
        <v>26208000</v>
      </c>
      <c r="G7" t="s">
        <v>8</v>
      </c>
      <c r="H7" t="s">
        <v>988</v>
      </c>
      <c r="I7" s="193" t="s">
        <v>722</v>
      </c>
      <c r="J7" s="193" t="s">
        <v>692</v>
      </c>
      <c r="K7" s="193" t="s">
        <v>686</v>
      </c>
    </row>
    <row r="8" spans="1:11" x14ac:dyDescent="0.3">
      <c r="A8" t="s">
        <v>21</v>
      </c>
      <c r="B8" t="s">
        <v>22</v>
      </c>
      <c r="C8">
        <v>12</v>
      </c>
      <c r="D8" t="s">
        <v>16</v>
      </c>
      <c r="E8">
        <f t="shared" si="0"/>
        <v>2184000</v>
      </c>
      <c r="F8">
        <v>26208000</v>
      </c>
      <c r="G8" t="s">
        <v>8</v>
      </c>
      <c r="H8" t="s">
        <v>988</v>
      </c>
      <c r="I8" s="193" t="s">
        <v>722</v>
      </c>
      <c r="J8" s="193" t="s">
        <v>692</v>
      </c>
      <c r="K8" s="193" t="s">
        <v>686</v>
      </c>
    </row>
    <row r="9" spans="1:11" x14ac:dyDescent="0.3">
      <c r="A9" t="s">
        <v>23</v>
      </c>
      <c r="B9" t="s">
        <v>24</v>
      </c>
      <c r="C9">
        <v>11</v>
      </c>
      <c r="D9" t="s">
        <v>16</v>
      </c>
      <c r="E9">
        <f t="shared" si="0"/>
        <v>2184000</v>
      </c>
      <c r="F9">
        <v>24024000</v>
      </c>
      <c r="G9" t="s">
        <v>8</v>
      </c>
      <c r="H9" t="s">
        <v>988</v>
      </c>
      <c r="I9" s="193" t="s">
        <v>722</v>
      </c>
      <c r="J9" s="193" t="s">
        <v>692</v>
      </c>
      <c r="K9" s="193" t="s">
        <v>686</v>
      </c>
    </row>
    <row r="10" spans="1:11" x14ac:dyDescent="0.3">
      <c r="A10" t="s">
        <v>25</v>
      </c>
      <c r="B10" t="s">
        <v>26</v>
      </c>
      <c r="C10">
        <v>12</v>
      </c>
      <c r="D10" t="s">
        <v>16</v>
      </c>
      <c r="E10">
        <f t="shared" si="0"/>
        <v>2184000</v>
      </c>
      <c r="F10">
        <v>26208000</v>
      </c>
      <c r="G10" t="s">
        <v>8</v>
      </c>
      <c r="H10" t="s">
        <v>988</v>
      </c>
      <c r="I10" s="193" t="s">
        <v>722</v>
      </c>
      <c r="J10" s="193" t="s">
        <v>692</v>
      </c>
      <c r="K10" s="193" t="s">
        <v>686</v>
      </c>
    </row>
    <row r="11" spans="1:11" x14ac:dyDescent="0.3">
      <c r="A11" t="s">
        <v>27</v>
      </c>
      <c r="B11" t="s">
        <v>28</v>
      </c>
      <c r="C11">
        <v>12</v>
      </c>
      <c r="D11" t="s">
        <v>16</v>
      </c>
      <c r="E11">
        <f t="shared" si="0"/>
        <v>2184000</v>
      </c>
      <c r="F11">
        <v>26208000</v>
      </c>
      <c r="G11" t="s">
        <v>8</v>
      </c>
      <c r="H11" t="s">
        <v>988</v>
      </c>
      <c r="I11" s="193" t="s">
        <v>722</v>
      </c>
      <c r="J11" s="193" t="s">
        <v>692</v>
      </c>
      <c r="K11" s="193" t="s">
        <v>686</v>
      </c>
    </row>
    <row r="12" spans="1:11" x14ac:dyDescent="0.3">
      <c r="A12" t="s">
        <v>29</v>
      </c>
      <c r="B12" t="s">
        <v>30</v>
      </c>
      <c r="C12">
        <v>12</v>
      </c>
      <c r="D12" t="s">
        <v>16</v>
      </c>
      <c r="E12">
        <f t="shared" si="0"/>
        <v>2184000</v>
      </c>
      <c r="F12">
        <v>26208000</v>
      </c>
      <c r="G12" t="s">
        <v>8</v>
      </c>
      <c r="H12" t="s">
        <v>988</v>
      </c>
      <c r="I12" s="193" t="s">
        <v>722</v>
      </c>
      <c r="J12" s="193" t="s">
        <v>692</v>
      </c>
      <c r="K12" s="193" t="s">
        <v>686</v>
      </c>
    </row>
    <row r="13" spans="1:11" x14ac:dyDescent="0.3">
      <c r="A13" t="s">
        <v>31</v>
      </c>
      <c r="B13" t="s">
        <v>32</v>
      </c>
      <c r="C13">
        <v>11</v>
      </c>
      <c r="D13" t="s">
        <v>16</v>
      </c>
      <c r="E13">
        <f t="shared" si="0"/>
        <v>2184000</v>
      </c>
      <c r="F13">
        <v>24024000</v>
      </c>
      <c r="G13" t="s">
        <v>8</v>
      </c>
      <c r="H13" t="s">
        <v>988</v>
      </c>
      <c r="I13" s="193" t="s">
        <v>722</v>
      </c>
      <c r="J13" s="193" t="s">
        <v>692</v>
      </c>
      <c r="K13" s="193" t="s">
        <v>686</v>
      </c>
    </row>
    <row r="14" spans="1:11" x14ac:dyDescent="0.3">
      <c r="A14" t="s">
        <v>33</v>
      </c>
      <c r="B14" t="s">
        <v>34</v>
      </c>
      <c r="C14">
        <v>1</v>
      </c>
      <c r="D14" t="s">
        <v>7</v>
      </c>
      <c r="E14">
        <f t="shared" si="0"/>
        <v>26000000</v>
      </c>
      <c r="F14">
        <v>26000000</v>
      </c>
      <c r="G14" t="s">
        <v>8</v>
      </c>
      <c r="H14" t="s">
        <v>723</v>
      </c>
      <c r="I14" s="193" t="s">
        <v>722</v>
      </c>
      <c r="J14" s="193" t="s">
        <v>692</v>
      </c>
      <c r="K14" s="193" t="s">
        <v>686</v>
      </c>
    </row>
    <row r="15" spans="1:11" x14ac:dyDescent="0.3">
      <c r="A15" t="s">
        <v>35</v>
      </c>
      <c r="B15" t="s">
        <v>36</v>
      </c>
      <c r="C15">
        <v>1</v>
      </c>
      <c r="D15" t="s">
        <v>13</v>
      </c>
      <c r="E15">
        <f t="shared" si="0"/>
        <v>3383000</v>
      </c>
      <c r="F15">
        <v>3383000</v>
      </c>
      <c r="G15" t="s">
        <v>8</v>
      </c>
      <c r="H15" t="s">
        <v>725</v>
      </c>
      <c r="I15" s="193" t="s">
        <v>724</v>
      </c>
      <c r="J15" s="193" t="s">
        <v>692</v>
      </c>
      <c r="K15" s="193" t="s">
        <v>686</v>
      </c>
    </row>
    <row r="16" spans="1:11" x14ac:dyDescent="0.3">
      <c r="A16" t="s">
        <v>37</v>
      </c>
      <c r="B16" t="s">
        <v>38</v>
      </c>
      <c r="C16">
        <v>1</v>
      </c>
      <c r="D16" t="s">
        <v>7</v>
      </c>
      <c r="E16">
        <f t="shared" si="0"/>
        <v>1333572</v>
      </c>
      <c r="F16">
        <v>1333572</v>
      </c>
      <c r="G16" t="s">
        <v>8</v>
      </c>
      <c r="H16" t="s">
        <v>726</v>
      </c>
      <c r="I16" s="193" t="s">
        <v>724</v>
      </c>
      <c r="J16" s="193" t="s">
        <v>692</v>
      </c>
      <c r="K16" s="193" t="s">
        <v>686</v>
      </c>
    </row>
    <row r="17" spans="1:11" x14ac:dyDescent="0.3">
      <c r="A17" t="s">
        <v>39</v>
      </c>
      <c r="B17" t="s">
        <v>40</v>
      </c>
      <c r="C17">
        <v>1</v>
      </c>
      <c r="D17" t="s">
        <v>13</v>
      </c>
      <c r="E17">
        <f t="shared" si="0"/>
        <v>1405852</v>
      </c>
      <c r="F17">
        <v>1405852</v>
      </c>
      <c r="G17" t="s">
        <v>8</v>
      </c>
      <c r="H17" t="s">
        <v>727</v>
      </c>
      <c r="I17" s="193" t="s">
        <v>724</v>
      </c>
      <c r="J17" s="193" t="s">
        <v>692</v>
      </c>
      <c r="K17" s="193" t="s">
        <v>686</v>
      </c>
    </row>
    <row r="18" spans="1:11" x14ac:dyDescent="0.3">
      <c r="A18" t="s">
        <v>41</v>
      </c>
      <c r="B18" t="s">
        <v>42</v>
      </c>
      <c r="C18">
        <v>1</v>
      </c>
      <c r="D18" t="s">
        <v>13</v>
      </c>
      <c r="E18">
        <f t="shared" si="0"/>
        <v>9632358</v>
      </c>
      <c r="F18">
        <v>9632358</v>
      </c>
      <c r="G18" t="s">
        <v>8</v>
      </c>
      <c r="H18" t="s">
        <v>989</v>
      </c>
      <c r="I18" s="193" t="s">
        <v>724</v>
      </c>
      <c r="J18" s="193" t="s">
        <v>692</v>
      </c>
      <c r="K18" s="193" t="s">
        <v>686</v>
      </c>
    </row>
    <row r="19" spans="1:11" x14ac:dyDescent="0.3">
      <c r="A19" t="s">
        <v>43</v>
      </c>
      <c r="B19" t="s">
        <v>44</v>
      </c>
      <c r="C19">
        <v>1</v>
      </c>
      <c r="D19" t="s">
        <v>13</v>
      </c>
      <c r="E19">
        <f t="shared" si="0"/>
        <v>4682520</v>
      </c>
      <c r="F19">
        <v>4682520</v>
      </c>
      <c r="G19" t="s">
        <v>8</v>
      </c>
      <c r="H19" t="s">
        <v>990</v>
      </c>
      <c r="I19" s="193" t="s">
        <v>724</v>
      </c>
      <c r="J19" s="193" t="s">
        <v>692</v>
      </c>
      <c r="K19" s="193" t="s">
        <v>686</v>
      </c>
    </row>
    <row r="20" spans="1:11" x14ac:dyDescent="0.3">
      <c r="A20" t="s">
        <v>45</v>
      </c>
      <c r="B20" t="s">
        <v>46</v>
      </c>
      <c r="C20">
        <v>12</v>
      </c>
      <c r="D20" t="s">
        <v>47</v>
      </c>
      <c r="E20">
        <f t="shared" si="0"/>
        <v>45000</v>
      </c>
      <c r="F20">
        <v>540000</v>
      </c>
      <c r="G20" t="s">
        <v>8</v>
      </c>
      <c r="H20" t="s">
        <v>991</v>
      </c>
      <c r="I20" s="193" t="s">
        <v>728</v>
      </c>
      <c r="J20" s="193" t="s">
        <v>692</v>
      </c>
      <c r="K20" s="193" t="s">
        <v>686</v>
      </c>
    </row>
    <row r="21" spans="1:11" x14ac:dyDescent="0.3">
      <c r="A21" t="s">
        <v>48</v>
      </c>
      <c r="B21" t="s">
        <v>49</v>
      </c>
      <c r="C21">
        <v>26</v>
      </c>
      <c r="D21" t="s">
        <v>50</v>
      </c>
      <c r="E21">
        <f t="shared" si="0"/>
        <v>58000</v>
      </c>
      <c r="F21">
        <v>1508000</v>
      </c>
      <c r="G21" t="s">
        <v>8</v>
      </c>
      <c r="H21" t="s">
        <v>991</v>
      </c>
      <c r="I21" s="193" t="s">
        <v>728</v>
      </c>
      <c r="J21" s="193" t="s">
        <v>692</v>
      </c>
      <c r="K21" s="193" t="s">
        <v>686</v>
      </c>
    </row>
    <row r="22" spans="1:11" x14ac:dyDescent="0.3">
      <c r="A22" t="s">
        <v>51</v>
      </c>
      <c r="B22" t="s">
        <v>52</v>
      </c>
      <c r="C22">
        <v>12</v>
      </c>
      <c r="D22" t="s">
        <v>53</v>
      </c>
      <c r="E22">
        <f t="shared" si="0"/>
        <v>98000</v>
      </c>
      <c r="F22">
        <v>1176000</v>
      </c>
      <c r="G22" t="s">
        <v>8</v>
      </c>
      <c r="H22" t="s">
        <v>991</v>
      </c>
      <c r="I22" s="193" t="s">
        <v>728</v>
      </c>
      <c r="J22" s="193" t="s">
        <v>692</v>
      </c>
      <c r="K22" s="193" t="s">
        <v>686</v>
      </c>
    </row>
    <row r="23" spans="1:11" x14ac:dyDescent="0.3">
      <c r="A23" t="s">
        <v>54</v>
      </c>
      <c r="B23" t="s">
        <v>55</v>
      </c>
      <c r="C23">
        <v>2</v>
      </c>
      <c r="D23" t="s">
        <v>56</v>
      </c>
      <c r="E23">
        <f t="shared" si="0"/>
        <v>300</v>
      </c>
      <c r="F23">
        <v>600</v>
      </c>
      <c r="G23" t="s">
        <v>8</v>
      </c>
      <c r="H23" t="s">
        <v>991</v>
      </c>
      <c r="I23" s="193" t="s">
        <v>728</v>
      </c>
      <c r="J23" s="193" t="s">
        <v>692</v>
      </c>
      <c r="K23" s="193" t="s">
        <v>686</v>
      </c>
    </row>
    <row r="24" spans="1:11" x14ac:dyDescent="0.3">
      <c r="A24" t="s">
        <v>57</v>
      </c>
      <c r="B24" t="s">
        <v>58</v>
      </c>
      <c r="C24">
        <v>7</v>
      </c>
      <c r="D24" t="s">
        <v>59</v>
      </c>
      <c r="E24">
        <f t="shared" si="0"/>
        <v>20000</v>
      </c>
      <c r="F24">
        <v>140000</v>
      </c>
      <c r="G24" t="s">
        <v>8</v>
      </c>
      <c r="H24" t="s">
        <v>991</v>
      </c>
      <c r="I24" s="193" t="s">
        <v>728</v>
      </c>
      <c r="J24" s="193" t="s">
        <v>692</v>
      </c>
      <c r="K24" s="193" t="s">
        <v>686</v>
      </c>
    </row>
    <row r="25" spans="1:11" x14ac:dyDescent="0.3">
      <c r="A25" t="s">
        <v>60</v>
      </c>
      <c r="B25" t="s">
        <v>61</v>
      </c>
      <c r="C25">
        <v>16</v>
      </c>
      <c r="D25" t="s">
        <v>62</v>
      </c>
      <c r="E25">
        <f t="shared" si="0"/>
        <v>1500</v>
      </c>
      <c r="F25">
        <v>24000</v>
      </c>
      <c r="G25" t="s">
        <v>8</v>
      </c>
      <c r="H25" t="s">
        <v>991</v>
      </c>
      <c r="I25" s="193" t="s">
        <v>728</v>
      </c>
      <c r="J25" s="193" t="s">
        <v>692</v>
      </c>
      <c r="K25" s="193" t="s">
        <v>686</v>
      </c>
    </row>
    <row r="26" spans="1:11" x14ac:dyDescent="0.3">
      <c r="A26" t="s">
        <v>63</v>
      </c>
      <c r="B26" t="s">
        <v>64</v>
      </c>
      <c r="C26">
        <v>40</v>
      </c>
      <c r="D26" t="s">
        <v>59</v>
      </c>
      <c r="E26">
        <f t="shared" si="0"/>
        <v>12000</v>
      </c>
      <c r="F26">
        <v>480000</v>
      </c>
      <c r="G26" t="s">
        <v>8</v>
      </c>
      <c r="H26" t="s">
        <v>992</v>
      </c>
      <c r="I26" s="193" t="s">
        <v>728</v>
      </c>
      <c r="J26" s="193" t="s">
        <v>692</v>
      </c>
      <c r="K26" s="193" t="s">
        <v>686</v>
      </c>
    </row>
    <row r="27" spans="1:11" x14ac:dyDescent="0.3">
      <c r="A27" t="s">
        <v>65</v>
      </c>
      <c r="B27" t="s">
        <v>66</v>
      </c>
      <c r="C27">
        <v>52</v>
      </c>
      <c r="D27" t="s">
        <v>59</v>
      </c>
      <c r="E27">
        <f t="shared" si="0"/>
        <v>10000</v>
      </c>
      <c r="F27">
        <v>520000</v>
      </c>
      <c r="G27" t="s">
        <v>8</v>
      </c>
      <c r="H27" t="s">
        <v>992</v>
      </c>
      <c r="I27" s="193" t="s">
        <v>728</v>
      </c>
      <c r="J27" s="193" t="s">
        <v>692</v>
      </c>
      <c r="K27" s="193" t="s">
        <v>686</v>
      </c>
    </row>
    <row r="28" spans="1:11" x14ac:dyDescent="0.3">
      <c r="A28" t="s">
        <v>67</v>
      </c>
      <c r="B28" t="s">
        <v>68</v>
      </c>
      <c r="C28">
        <v>1</v>
      </c>
      <c r="D28" t="s">
        <v>7</v>
      </c>
      <c r="E28">
        <f t="shared" si="0"/>
        <v>2400000</v>
      </c>
      <c r="F28">
        <v>2400000</v>
      </c>
      <c r="G28" t="s">
        <v>69</v>
      </c>
      <c r="H28" t="s">
        <v>993</v>
      </c>
      <c r="I28" s="193" t="s">
        <v>728</v>
      </c>
      <c r="J28" s="193" t="s">
        <v>692</v>
      </c>
      <c r="K28" s="193" t="s">
        <v>686</v>
      </c>
    </row>
    <row r="29" spans="1:11" x14ac:dyDescent="0.3">
      <c r="A29" t="s">
        <v>70</v>
      </c>
      <c r="B29" t="s">
        <v>71</v>
      </c>
      <c r="C29">
        <v>1</v>
      </c>
      <c r="D29" t="s">
        <v>7</v>
      </c>
      <c r="E29">
        <f t="shared" si="0"/>
        <v>5794000</v>
      </c>
      <c r="F29">
        <v>5794000</v>
      </c>
      <c r="G29" t="s">
        <v>69</v>
      </c>
      <c r="H29" t="s">
        <v>994</v>
      </c>
      <c r="I29" s="193" t="s">
        <v>728</v>
      </c>
      <c r="J29" s="193" t="s">
        <v>692</v>
      </c>
      <c r="K29" s="193" t="s">
        <v>686</v>
      </c>
    </row>
    <row r="30" spans="1:11" x14ac:dyDescent="0.3">
      <c r="A30" t="s">
        <v>72</v>
      </c>
      <c r="B30" t="s">
        <v>73</v>
      </c>
      <c r="C30">
        <v>1</v>
      </c>
      <c r="D30" t="s">
        <v>7</v>
      </c>
      <c r="E30">
        <f t="shared" si="0"/>
        <v>430350</v>
      </c>
      <c r="F30">
        <v>430350</v>
      </c>
      <c r="G30" t="s">
        <v>74</v>
      </c>
      <c r="H30" t="s">
        <v>995</v>
      </c>
      <c r="I30" s="193" t="s">
        <v>728</v>
      </c>
      <c r="J30" s="193" t="s">
        <v>692</v>
      </c>
      <c r="K30" s="193" t="s">
        <v>686</v>
      </c>
    </row>
    <row r="31" spans="1:11" x14ac:dyDescent="0.3">
      <c r="A31" t="s">
        <v>75</v>
      </c>
      <c r="B31" t="s">
        <v>76</v>
      </c>
      <c r="C31">
        <v>1</v>
      </c>
      <c r="D31" t="s">
        <v>7</v>
      </c>
      <c r="E31">
        <f t="shared" si="0"/>
        <v>250000</v>
      </c>
      <c r="F31">
        <v>250000</v>
      </c>
      <c r="G31" t="s">
        <v>77</v>
      </c>
      <c r="H31" t="s">
        <v>996</v>
      </c>
      <c r="I31" s="193" t="s">
        <v>728</v>
      </c>
      <c r="J31" s="193" t="s">
        <v>692</v>
      </c>
      <c r="K31" s="193" t="s">
        <v>686</v>
      </c>
    </row>
    <row r="32" spans="1:11" x14ac:dyDescent="0.3">
      <c r="A32" t="s">
        <v>78</v>
      </c>
      <c r="B32" t="s">
        <v>79</v>
      </c>
      <c r="C32">
        <v>3</v>
      </c>
      <c r="D32" t="s">
        <v>62</v>
      </c>
      <c r="E32">
        <f t="shared" si="0"/>
        <v>20000</v>
      </c>
      <c r="F32">
        <v>60000</v>
      </c>
      <c r="G32" t="s">
        <v>69</v>
      </c>
      <c r="H32" t="s">
        <v>997</v>
      </c>
      <c r="I32" s="193" t="s">
        <v>728</v>
      </c>
      <c r="J32" s="193" t="s">
        <v>692</v>
      </c>
      <c r="K32" s="193" t="s">
        <v>686</v>
      </c>
    </row>
    <row r="33" spans="1:11" x14ac:dyDescent="0.3">
      <c r="A33" t="s">
        <v>80</v>
      </c>
      <c r="B33" t="s">
        <v>81</v>
      </c>
      <c r="C33">
        <v>3</v>
      </c>
      <c r="D33" t="s">
        <v>62</v>
      </c>
      <c r="E33">
        <f t="shared" si="0"/>
        <v>15000</v>
      </c>
      <c r="F33">
        <v>45000</v>
      </c>
      <c r="G33" t="s">
        <v>69</v>
      </c>
      <c r="H33" t="s">
        <v>997</v>
      </c>
      <c r="I33" s="193" t="s">
        <v>728</v>
      </c>
      <c r="J33" s="193" t="s">
        <v>692</v>
      </c>
      <c r="K33" s="193" t="s">
        <v>686</v>
      </c>
    </row>
    <row r="34" spans="1:11" x14ac:dyDescent="0.3">
      <c r="A34" t="s">
        <v>82</v>
      </c>
      <c r="B34" t="s">
        <v>83</v>
      </c>
      <c r="C34">
        <v>1</v>
      </c>
      <c r="D34" t="s">
        <v>84</v>
      </c>
      <c r="E34">
        <f t="shared" si="0"/>
        <v>29000</v>
      </c>
      <c r="F34">
        <v>29000</v>
      </c>
      <c r="G34" t="s">
        <v>69</v>
      </c>
      <c r="H34" t="s">
        <v>997</v>
      </c>
      <c r="I34" s="193" t="s">
        <v>728</v>
      </c>
      <c r="J34" s="193" t="s">
        <v>692</v>
      </c>
      <c r="K34" s="193" t="s">
        <v>686</v>
      </c>
    </row>
    <row r="35" spans="1:11" x14ac:dyDescent="0.3">
      <c r="A35" t="s">
        <v>85</v>
      </c>
      <c r="B35" t="s">
        <v>86</v>
      </c>
      <c r="C35">
        <v>2</v>
      </c>
      <c r="D35" t="s">
        <v>84</v>
      </c>
      <c r="E35">
        <f t="shared" si="0"/>
        <v>8000</v>
      </c>
      <c r="F35">
        <v>16000</v>
      </c>
      <c r="G35" t="s">
        <v>69</v>
      </c>
      <c r="H35" t="s">
        <v>997</v>
      </c>
      <c r="I35" s="193" t="s">
        <v>728</v>
      </c>
      <c r="J35" s="193" t="s">
        <v>692</v>
      </c>
      <c r="K35" s="193" t="s">
        <v>686</v>
      </c>
    </row>
    <row r="36" spans="1:11" x14ac:dyDescent="0.3">
      <c r="A36" t="s">
        <v>87</v>
      </c>
      <c r="B36" t="s">
        <v>88</v>
      </c>
      <c r="C36">
        <v>2</v>
      </c>
      <c r="D36" t="s">
        <v>84</v>
      </c>
      <c r="E36">
        <f t="shared" si="0"/>
        <v>15000</v>
      </c>
      <c r="F36">
        <v>30000</v>
      </c>
      <c r="G36" t="s">
        <v>69</v>
      </c>
      <c r="H36" t="s">
        <v>997</v>
      </c>
      <c r="I36" s="193" t="s">
        <v>728</v>
      </c>
      <c r="J36" s="193" t="s">
        <v>692</v>
      </c>
      <c r="K36" s="193" t="s">
        <v>686</v>
      </c>
    </row>
    <row r="37" spans="1:11" x14ac:dyDescent="0.3">
      <c r="A37" t="s">
        <v>89</v>
      </c>
      <c r="B37" t="s">
        <v>90</v>
      </c>
      <c r="C37">
        <v>3</v>
      </c>
      <c r="D37" t="s">
        <v>84</v>
      </c>
      <c r="E37">
        <f t="shared" si="0"/>
        <v>15000</v>
      </c>
      <c r="F37">
        <v>45000</v>
      </c>
      <c r="G37" t="s">
        <v>69</v>
      </c>
      <c r="H37" t="s">
        <v>997</v>
      </c>
      <c r="I37" s="193" t="s">
        <v>728</v>
      </c>
      <c r="J37" s="193" t="s">
        <v>692</v>
      </c>
      <c r="K37" s="193" t="s">
        <v>686</v>
      </c>
    </row>
    <row r="38" spans="1:11" x14ac:dyDescent="0.3">
      <c r="A38" t="s">
        <v>91</v>
      </c>
      <c r="B38" t="s">
        <v>92</v>
      </c>
      <c r="C38">
        <v>2</v>
      </c>
      <c r="D38" t="s">
        <v>84</v>
      </c>
      <c r="E38">
        <f t="shared" si="0"/>
        <v>10000</v>
      </c>
      <c r="F38">
        <v>20000</v>
      </c>
      <c r="G38" t="s">
        <v>69</v>
      </c>
      <c r="H38" t="s">
        <v>997</v>
      </c>
      <c r="I38" s="193" t="s">
        <v>728</v>
      </c>
      <c r="J38" s="193" t="s">
        <v>692</v>
      </c>
      <c r="K38" s="193" t="s">
        <v>686</v>
      </c>
    </row>
    <row r="39" spans="1:11" x14ac:dyDescent="0.3">
      <c r="A39" t="s">
        <v>93</v>
      </c>
      <c r="B39" t="s">
        <v>94</v>
      </c>
      <c r="C39">
        <v>1</v>
      </c>
      <c r="D39" t="s">
        <v>84</v>
      </c>
      <c r="E39">
        <f t="shared" si="0"/>
        <v>30000</v>
      </c>
      <c r="F39">
        <v>30000</v>
      </c>
      <c r="G39" t="s">
        <v>69</v>
      </c>
      <c r="H39" t="s">
        <v>997</v>
      </c>
      <c r="I39" s="193" t="s">
        <v>728</v>
      </c>
      <c r="J39" s="193" t="s">
        <v>692</v>
      </c>
      <c r="K39" s="193" t="s">
        <v>686</v>
      </c>
    </row>
    <row r="40" spans="1:11" x14ac:dyDescent="0.3">
      <c r="A40" t="s">
        <v>95</v>
      </c>
      <c r="B40" t="s">
        <v>96</v>
      </c>
      <c r="C40">
        <v>2</v>
      </c>
      <c r="D40" t="s">
        <v>97</v>
      </c>
      <c r="E40">
        <f t="shared" si="0"/>
        <v>23000</v>
      </c>
      <c r="F40">
        <v>46000</v>
      </c>
      <c r="G40" t="s">
        <v>69</v>
      </c>
      <c r="H40" t="s">
        <v>997</v>
      </c>
      <c r="I40" s="193" t="s">
        <v>728</v>
      </c>
      <c r="J40" s="193" t="s">
        <v>692</v>
      </c>
      <c r="K40" s="193" t="s">
        <v>686</v>
      </c>
    </row>
    <row r="41" spans="1:11" x14ac:dyDescent="0.3">
      <c r="A41" t="s">
        <v>98</v>
      </c>
      <c r="B41" t="s">
        <v>99</v>
      </c>
      <c r="C41">
        <v>20</v>
      </c>
      <c r="D41" t="s">
        <v>100</v>
      </c>
      <c r="E41">
        <f t="shared" si="0"/>
        <v>8000</v>
      </c>
      <c r="F41">
        <v>160000</v>
      </c>
      <c r="G41" t="s">
        <v>69</v>
      </c>
      <c r="H41" t="s">
        <v>997</v>
      </c>
      <c r="I41" s="193" t="s">
        <v>728</v>
      </c>
      <c r="J41" s="193" t="s">
        <v>692</v>
      </c>
      <c r="K41" s="193" t="s">
        <v>686</v>
      </c>
    </row>
    <row r="42" spans="1:11" x14ac:dyDescent="0.3">
      <c r="A42" t="s">
        <v>101</v>
      </c>
      <c r="B42" t="s">
        <v>102</v>
      </c>
      <c r="C42">
        <v>8</v>
      </c>
      <c r="D42" t="s">
        <v>62</v>
      </c>
      <c r="E42">
        <f t="shared" si="0"/>
        <v>20000</v>
      </c>
      <c r="F42">
        <v>160000</v>
      </c>
      <c r="G42" t="s">
        <v>69</v>
      </c>
      <c r="H42" t="s">
        <v>997</v>
      </c>
      <c r="I42" s="193" t="s">
        <v>728</v>
      </c>
      <c r="J42" s="193" t="s">
        <v>692</v>
      </c>
      <c r="K42" s="193" t="s">
        <v>686</v>
      </c>
    </row>
    <row r="43" spans="1:11" x14ac:dyDescent="0.3">
      <c r="A43" t="s">
        <v>103</v>
      </c>
      <c r="B43" t="s">
        <v>104</v>
      </c>
      <c r="C43">
        <v>2</v>
      </c>
      <c r="D43" t="s">
        <v>62</v>
      </c>
      <c r="E43">
        <f t="shared" si="0"/>
        <v>15000</v>
      </c>
      <c r="F43">
        <v>30000</v>
      </c>
      <c r="G43" t="s">
        <v>69</v>
      </c>
      <c r="H43" t="s">
        <v>997</v>
      </c>
      <c r="I43" s="193" t="s">
        <v>728</v>
      </c>
      <c r="J43" s="193" t="s">
        <v>692</v>
      </c>
      <c r="K43" s="193" t="s">
        <v>686</v>
      </c>
    </row>
    <row r="44" spans="1:11" x14ac:dyDescent="0.3">
      <c r="A44" t="s">
        <v>105</v>
      </c>
      <c r="B44" t="s">
        <v>106</v>
      </c>
      <c r="C44">
        <v>2</v>
      </c>
      <c r="D44" t="s">
        <v>62</v>
      </c>
      <c r="E44">
        <f t="shared" si="0"/>
        <v>15000</v>
      </c>
      <c r="F44">
        <v>30000</v>
      </c>
      <c r="G44" t="s">
        <v>69</v>
      </c>
      <c r="H44" t="s">
        <v>997</v>
      </c>
      <c r="I44" s="193" t="s">
        <v>728</v>
      </c>
      <c r="J44" s="193" t="s">
        <v>692</v>
      </c>
      <c r="K44" s="193" t="s">
        <v>686</v>
      </c>
    </row>
    <row r="45" spans="1:11" x14ac:dyDescent="0.3">
      <c r="A45" t="s">
        <v>107</v>
      </c>
      <c r="B45" t="s">
        <v>108</v>
      </c>
      <c r="C45">
        <v>1</v>
      </c>
      <c r="D45" t="s">
        <v>62</v>
      </c>
      <c r="E45">
        <f t="shared" si="0"/>
        <v>200000</v>
      </c>
      <c r="F45">
        <v>200000</v>
      </c>
      <c r="G45" t="s">
        <v>69</v>
      </c>
      <c r="H45" t="s">
        <v>997</v>
      </c>
      <c r="I45" s="193" t="s">
        <v>728</v>
      </c>
      <c r="J45" s="193" t="s">
        <v>692</v>
      </c>
      <c r="K45" s="193" t="s">
        <v>686</v>
      </c>
    </row>
    <row r="46" spans="1:11" x14ac:dyDescent="0.3">
      <c r="A46" t="s">
        <v>109</v>
      </c>
      <c r="B46" t="s">
        <v>110</v>
      </c>
      <c r="C46">
        <v>1</v>
      </c>
      <c r="D46" t="s">
        <v>62</v>
      </c>
      <c r="E46">
        <f t="shared" si="0"/>
        <v>40000</v>
      </c>
      <c r="F46">
        <v>40000</v>
      </c>
      <c r="G46" t="s">
        <v>69</v>
      </c>
      <c r="H46" t="s">
        <v>997</v>
      </c>
      <c r="I46" s="193" t="s">
        <v>728</v>
      </c>
      <c r="J46" s="193" t="s">
        <v>692</v>
      </c>
      <c r="K46" s="193" t="s">
        <v>686</v>
      </c>
    </row>
    <row r="47" spans="1:11" x14ac:dyDescent="0.3">
      <c r="A47" t="s">
        <v>111</v>
      </c>
      <c r="B47" t="s">
        <v>112</v>
      </c>
      <c r="C47">
        <v>2</v>
      </c>
      <c r="D47" t="s">
        <v>62</v>
      </c>
      <c r="E47">
        <f t="shared" si="0"/>
        <v>10000</v>
      </c>
      <c r="F47">
        <v>20000</v>
      </c>
      <c r="G47" t="s">
        <v>69</v>
      </c>
      <c r="H47" t="s">
        <v>997</v>
      </c>
      <c r="I47" s="193" t="s">
        <v>728</v>
      </c>
      <c r="J47" s="193" t="s">
        <v>692</v>
      </c>
      <c r="K47" s="193" t="s">
        <v>686</v>
      </c>
    </row>
    <row r="48" spans="1:11" x14ac:dyDescent="0.3">
      <c r="A48" t="s">
        <v>113</v>
      </c>
      <c r="B48" t="s">
        <v>114</v>
      </c>
      <c r="C48">
        <v>3</v>
      </c>
      <c r="D48" t="s">
        <v>62</v>
      </c>
      <c r="E48">
        <f t="shared" si="0"/>
        <v>3000</v>
      </c>
      <c r="F48">
        <v>9000</v>
      </c>
      <c r="G48" t="s">
        <v>69</v>
      </c>
      <c r="H48" t="s">
        <v>997</v>
      </c>
      <c r="I48" s="193" t="s">
        <v>728</v>
      </c>
      <c r="J48" s="193" t="s">
        <v>692</v>
      </c>
      <c r="K48" s="193" t="s">
        <v>686</v>
      </c>
    </row>
    <row r="49" spans="1:11" x14ac:dyDescent="0.3">
      <c r="A49" t="s">
        <v>115</v>
      </c>
      <c r="B49" t="s">
        <v>116</v>
      </c>
      <c r="C49">
        <v>2</v>
      </c>
      <c r="D49" t="s">
        <v>62</v>
      </c>
      <c r="E49">
        <f t="shared" si="0"/>
        <v>15000</v>
      </c>
      <c r="F49">
        <v>30000</v>
      </c>
      <c r="G49" t="s">
        <v>69</v>
      </c>
      <c r="H49" t="s">
        <v>997</v>
      </c>
      <c r="I49" s="193" t="s">
        <v>728</v>
      </c>
      <c r="J49" s="193" t="s">
        <v>692</v>
      </c>
      <c r="K49" s="193" t="s">
        <v>686</v>
      </c>
    </row>
    <row r="50" spans="1:11" x14ac:dyDescent="0.3">
      <c r="A50" t="s">
        <v>117</v>
      </c>
      <c r="B50" t="s">
        <v>118</v>
      </c>
      <c r="C50">
        <v>1</v>
      </c>
      <c r="D50" t="s">
        <v>7</v>
      </c>
      <c r="E50">
        <f t="shared" si="0"/>
        <v>12000000</v>
      </c>
      <c r="F50">
        <v>12000000</v>
      </c>
      <c r="G50" t="s">
        <v>69</v>
      </c>
      <c r="H50" t="s">
        <v>999</v>
      </c>
      <c r="I50" s="193" t="s">
        <v>728</v>
      </c>
      <c r="J50" s="193" t="s">
        <v>692</v>
      </c>
      <c r="K50" s="193" t="s">
        <v>686</v>
      </c>
    </row>
    <row r="51" spans="1:11" x14ac:dyDescent="0.3">
      <c r="A51" t="s">
        <v>119</v>
      </c>
      <c r="B51" t="s">
        <v>120</v>
      </c>
      <c r="C51">
        <v>1</v>
      </c>
      <c r="D51" t="s">
        <v>7</v>
      </c>
      <c r="E51">
        <f t="shared" si="0"/>
        <v>2118000</v>
      </c>
      <c r="F51">
        <v>2118000</v>
      </c>
      <c r="G51" t="s">
        <v>69</v>
      </c>
      <c r="H51" t="s">
        <v>1000</v>
      </c>
      <c r="I51" s="193" t="s">
        <v>728</v>
      </c>
      <c r="J51" s="193" t="s">
        <v>692</v>
      </c>
      <c r="K51" s="193" t="s">
        <v>686</v>
      </c>
    </row>
    <row r="52" spans="1:11" x14ac:dyDescent="0.3">
      <c r="A52" t="s">
        <v>121</v>
      </c>
      <c r="B52" t="s">
        <v>122</v>
      </c>
      <c r="C52">
        <v>1</v>
      </c>
      <c r="D52" t="s">
        <v>13</v>
      </c>
      <c r="E52">
        <f t="shared" si="0"/>
        <v>500000</v>
      </c>
      <c r="F52">
        <v>500000</v>
      </c>
      <c r="G52" t="s">
        <v>69</v>
      </c>
      <c r="H52" t="s">
        <v>1000</v>
      </c>
      <c r="I52" s="193" t="s">
        <v>728</v>
      </c>
      <c r="J52" s="193" t="s">
        <v>692</v>
      </c>
      <c r="K52" s="193" t="s">
        <v>686</v>
      </c>
    </row>
    <row r="53" spans="1:11" x14ac:dyDescent="0.3">
      <c r="A53" t="s">
        <v>123</v>
      </c>
      <c r="B53" t="s">
        <v>124</v>
      </c>
      <c r="C53">
        <v>12</v>
      </c>
      <c r="D53" t="s">
        <v>16</v>
      </c>
      <c r="E53">
        <f t="shared" si="0"/>
        <v>102500</v>
      </c>
      <c r="F53">
        <v>1230000</v>
      </c>
      <c r="G53" t="s">
        <v>8</v>
      </c>
      <c r="H53" t="s">
        <v>1001</v>
      </c>
      <c r="I53" s="193" t="s">
        <v>728</v>
      </c>
      <c r="J53" s="193" t="s">
        <v>692</v>
      </c>
      <c r="K53" s="193" t="s">
        <v>686</v>
      </c>
    </row>
    <row r="54" spans="1:11" x14ac:dyDescent="0.3">
      <c r="A54" t="s">
        <v>125</v>
      </c>
      <c r="B54" t="s">
        <v>126</v>
      </c>
      <c r="C54">
        <v>1</v>
      </c>
      <c r="D54" t="s">
        <v>7</v>
      </c>
      <c r="E54">
        <f t="shared" si="0"/>
        <v>400000</v>
      </c>
      <c r="F54">
        <v>400000</v>
      </c>
      <c r="G54" t="s">
        <v>77</v>
      </c>
      <c r="H54" t="s">
        <v>1003</v>
      </c>
      <c r="I54" s="193" t="s">
        <v>728</v>
      </c>
      <c r="J54" s="193" t="s">
        <v>692</v>
      </c>
      <c r="K54" s="193" t="s">
        <v>686</v>
      </c>
    </row>
    <row r="55" spans="1:11" x14ac:dyDescent="0.3">
      <c r="A55" t="s">
        <v>127</v>
      </c>
      <c r="B55" t="s">
        <v>128</v>
      </c>
      <c r="C55">
        <v>1</v>
      </c>
      <c r="D55" t="s">
        <v>7</v>
      </c>
      <c r="E55">
        <f t="shared" si="0"/>
        <v>482000</v>
      </c>
      <c r="F55">
        <v>482000</v>
      </c>
      <c r="G55" t="s">
        <v>77</v>
      </c>
      <c r="H55" t="s">
        <v>1003</v>
      </c>
      <c r="I55" s="193" t="s">
        <v>728</v>
      </c>
      <c r="J55" s="193" t="s">
        <v>692</v>
      </c>
      <c r="K55" s="193" t="s">
        <v>686</v>
      </c>
    </row>
    <row r="56" spans="1:11" x14ac:dyDescent="0.3">
      <c r="A56" t="s">
        <v>129</v>
      </c>
      <c r="B56" t="s">
        <v>130</v>
      </c>
      <c r="C56">
        <v>36</v>
      </c>
      <c r="D56" t="s">
        <v>131</v>
      </c>
      <c r="E56">
        <f t="shared" si="0"/>
        <v>22500</v>
      </c>
      <c r="F56">
        <v>810000</v>
      </c>
      <c r="G56" t="s">
        <v>69</v>
      </c>
      <c r="H56" t="s">
        <v>1005</v>
      </c>
      <c r="I56" s="193" t="s">
        <v>728</v>
      </c>
      <c r="J56" s="193" t="s">
        <v>692</v>
      </c>
      <c r="K56" s="193" t="s">
        <v>686</v>
      </c>
    </row>
    <row r="57" spans="1:11" x14ac:dyDescent="0.3">
      <c r="A57" t="s">
        <v>132</v>
      </c>
      <c r="B57" t="s">
        <v>133</v>
      </c>
      <c r="C57">
        <v>1</v>
      </c>
      <c r="D57" t="s">
        <v>13</v>
      </c>
      <c r="E57">
        <f t="shared" si="0"/>
        <v>338000</v>
      </c>
      <c r="F57">
        <v>338000</v>
      </c>
      <c r="G57" t="s">
        <v>8</v>
      </c>
      <c r="H57" t="s">
        <v>1006</v>
      </c>
      <c r="I57" s="193" t="s">
        <v>728</v>
      </c>
      <c r="J57" s="193" t="s">
        <v>692</v>
      </c>
      <c r="K57" s="193" t="s">
        <v>686</v>
      </c>
    </row>
    <row r="58" spans="1:11" x14ac:dyDescent="0.3">
      <c r="A58" t="s">
        <v>134</v>
      </c>
      <c r="B58" t="s">
        <v>135</v>
      </c>
      <c r="C58">
        <v>12</v>
      </c>
      <c r="D58" t="s">
        <v>16</v>
      </c>
      <c r="E58">
        <f t="shared" si="0"/>
        <v>102500</v>
      </c>
      <c r="F58">
        <v>1230000</v>
      </c>
      <c r="G58" t="s">
        <v>69</v>
      </c>
      <c r="H58" t="s">
        <v>1007</v>
      </c>
      <c r="I58" s="193" t="s">
        <v>728</v>
      </c>
      <c r="J58" s="193" t="s">
        <v>692</v>
      </c>
      <c r="K58" s="193" t="s">
        <v>686</v>
      </c>
    </row>
    <row r="59" spans="1:11" x14ac:dyDescent="0.3">
      <c r="A59" t="s">
        <v>136</v>
      </c>
      <c r="B59" t="s">
        <v>137</v>
      </c>
      <c r="C59">
        <v>5</v>
      </c>
      <c r="D59" t="s">
        <v>7</v>
      </c>
      <c r="E59">
        <f t="shared" si="0"/>
        <v>13000</v>
      </c>
      <c r="F59">
        <v>65000</v>
      </c>
      <c r="G59" t="s">
        <v>8</v>
      </c>
      <c r="H59" t="s">
        <v>1008</v>
      </c>
      <c r="I59" s="193" t="s">
        <v>728</v>
      </c>
      <c r="J59" s="193" t="s">
        <v>692</v>
      </c>
      <c r="K59" s="193" t="s">
        <v>686</v>
      </c>
    </row>
    <row r="60" spans="1:11" x14ac:dyDescent="0.3">
      <c r="A60" t="s">
        <v>138</v>
      </c>
      <c r="B60" t="s">
        <v>139</v>
      </c>
      <c r="C60">
        <v>2</v>
      </c>
      <c r="D60" t="s">
        <v>62</v>
      </c>
      <c r="E60">
        <f t="shared" si="0"/>
        <v>15000</v>
      </c>
      <c r="F60">
        <v>30000</v>
      </c>
      <c r="G60" t="s">
        <v>8</v>
      </c>
      <c r="H60" t="s">
        <v>1008</v>
      </c>
      <c r="I60" s="193" t="s">
        <v>728</v>
      </c>
      <c r="J60" s="193" t="s">
        <v>692</v>
      </c>
      <c r="K60" s="193" t="s">
        <v>686</v>
      </c>
    </row>
    <row r="61" spans="1:11" x14ac:dyDescent="0.3">
      <c r="A61" t="s">
        <v>140</v>
      </c>
      <c r="B61" t="s">
        <v>141</v>
      </c>
      <c r="C61">
        <v>4</v>
      </c>
      <c r="D61" t="s">
        <v>62</v>
      </c>
      <c r="E61">
        <f t="shared" si="0"/>
        <v>11000</v>
      </c>
      <c r="F61">
        <v>44000</v>
      </c>
      <c r="G61" t="s">
        <v>8</v>
      </c>
      <c r="H61" t="s">
        <v>1008</v>
      </c>
      <c r="I61" s="193" t="s">
        <v>728</v>
      </c>
      <c r="J61" s="193" t="s">
        <v>692</v>
      </c>
      <c r="K61" s="193" t="s">
        <v>686</v>
      </c>
    </row>
    <row r="62" spans="1:11" x14ac:dyDescent="0.3">
      <c r="A62" t="s">
        <v>142</v>
      </c>
      <c r="B62" t="s">
        <v>143</v>
      </c>
      <c r="C62">
        <v>3</v>
      </c>
      <c r="D62" t="s">
        <v>47</v>
      </c>
      <c r="E62">
        <f t="shared" si="0"/>
        <v>9000</v>
      </c>
      <c r="F62">
        <v>27000</v>
      </c>
      <c r="G62" t="s">
        <v>8</v>
      </c>
      <c r="H62" t="s">
        <v>1008</v>
      </c>
      <c r="I62" s="193" t="s">
        <v>728</v>
      </c>
      <c r="J62" s="193" t="s">
        <v>692</v>
      </c>
      <c r="K62" s="193" t="s">
        <v>686</v>
      </c>
    </row>
    <row r="63" spans="1:11" x14ac:dyDescent="0.3">
      <c r="A63" t="s">
        <v>144</v>
      </c>
      <c r="B63" t="s">
        <v>145</v>
      </c>
      <c r="C63">
        <v>7</v>
      </c>
      <c r="D63" t="s">
        <v>62</v>
      </c>
      <c r="E63">
        <f t="shared" si="0"/>
        <v>7000</v>
      </c>
      <c r="F63">
        <v>49000</v>
      </c>
      <c r="G63" t="s">
        <v>8</v>
      </c>
      <c r="H63" t="s">
        <v>1008</v>
      </c>
      <c r="I63" s="193" t="s">
        <v>728</v>
      </c>
      <c r="J63" s="193" t="s">
        <v>692</v>
      </c>
      <c r="K63" s="193" t="s">
        <v>686</v>
      </c>
    </row>
    <row r="64" spans="1:11" x14ac:dyDescent="0.3">
      <c r="A64" t="s">
        <v>146</v>
      </c>
      <c r="B64" t="s">
        <v>147</v>
      </c>
      <c r="C64">
        <v>2</v>
      </c>
      <c r="D64" t="s">
        <v>62</v>
      </c>
      <c r="E64">
        <f t="shared" si="0"/>
        <v>3500</v>
      </c>
      <c r="F64">
        <v>7000</v>
      </c>
      <c r="G64" t="s">
        <v>8</v>
      </c>
      <c r="H64" t="s">
        <v>1008</v>
      </c>
      <c r="I64" s="193" t="s">
        <v>728</v>
      </c>
      <c r="J64" s="193" t="s">
        <v>692</v>
      </c>
      <c r="K64" s="193" t="s">
        <v>686</v>
      </c>
    </row>
    <row r="65" spans="1:11" x14ac:dyDescent="0.3">
      <c r="A65" t="s">
        <v>148</v>
      </c>
      <c r="B65" t="s">
        <v>149</v>
      </c>
      <c r="C65">
        <v>12</v>
      </c>
      <c r="D65" t="s">
        <v>16</v>
      </c>
      <c r="E65">
        <f t="shared" si="0"/>
        <v>900000</v>
      </c>
      <c r="F65">
        <v>10800000</v>
      </c>
      <c r="G65" t="s">
        <v>8</v>
      </c>
      <c r="H65" t="s">
        <v>1009</v>
      </c>
      <c r="I65" s="193" t="s">
        <v>735</v>
      </c>
      <c r="J65" s="193" t="s">
        <v>692</v>
      </c>
      <c r="K65" s="193" t="s">
        <v>686</v>
      </c>
    </row>
    <row r="66" spans="1:11" x14ac:dyDescent="0.3">
      <c r="A66" t="s">
        <v>150</v>
      </c>
      <c r="B66" t="s">
        <v>151</v>
      </c>
      <c r="C66">
        <v>12</v>
      </c>
      <c r="D66" t="s">
        <v>16</v>
      </c>
      <c r="E66">
        <f t="shared" si="0"/>
        <v>800000</v>
      </c>
      <c r="F66">
        <v>9600000</v>
      </c>
      <c r="G66" t="s">
        <v>8</v>
      </c>
      <c r="H66" t="s">
        <v>1009</v>
      </c>
      <c r="I66" s="193" t="s">
        <v>735</v>
      </c>
      <c r="J66" s="193" t="s">
        <v>692</v>
      </c>
      <c r="K66" s="193" t="s">
        <v>686</v>
      </c>
    </row>
    <row r="67" spans="1:11" x14ac:dyDescent="0.3">
      <c r="A67" t="s">
        <v>152</v>
      </c>
      <c r="B67" t="s">
        <v>153</v>
      </c>
      <c r="C67">
        <v>12</v>
      </c>
      <c r="D67" t="s">
        <v>154</v>
      </c>
      <c r="E67">
        <f t="shared" ref="E67:E130" si="1">F67/C67</f>
        <v>700000</v>
      </c>
      <c r="F67">
        <v>8400000</v>
      </c>
      <c r="G67" t="s">
        <v>8</v>
      </c>
      <c r="H67" t="s">
        <v>1009</v>
      </c>
      <c r="I67" s="193" t="s">
        <v>735</v>
      </c>
      <c r="J67" s="193" t="s">
        <v>692</v>
      </c>
      <c r="K67" s="193" t="s">
        <v>686</v>
      </c>
    </row>
    <row r="68" spans="1:11" x14ac:dyDescent="0.3">
      <c r="A68" t="s">
        <v>155</v>
      </c>
      <c r="B68" t="s">
        <v>156</v>
      </c>
      <c r="C68">
        <v>2</v>
      </c>
      <c r="D68" t="s">
        <v>157</v>
      </c>
      <c r="E68">
        <f t="shared" si="1"/>
        <v>7200000</v>
      </c>
      <c r="F68">
        <v>14400000</v>
      </c>
      <c r="G68" t="s">
        <v>8</v>
      </c>
      <c r="H68" t="s">
        <v>1009</v>
      </c>
      <c r="I68" s="193" t="s">
        <v>735</v>
      </c>
      <c r="J68" s="193" t="s">
        <v>692</v>
      </c>
      <c r="K68" s="193" t="s">
        <v>686</v>
      </c>
    </row>
    <row r="69" spans="1:11" x14ac:dyDescent="0.3">
      <c r="A69" t="s">
        <v>158</v>
      </c>
      <c r="B69" t="s">
        <v>159</v>
      </c>
      <c r="C69">
        <v>1</v>
      </c>
      <c r="D69" t="s">
        <v>7</v>
      </c>
      <c r="E69">
        <f t="shared" si="1"/>
        <v>720000</v>
      </c>
      <c r="F69">
        <v>720000</v>
      </c>
      <c r="G69" t="s">
        <v>8</v>
      </c>
      <c r="H69" t="s">
        <v>1010</v>
      </c>
      <c r="I69" s="193" t="s">
        <v>736</v>
      </c>
      <c r="J69" s="193" t="s">
        <v>692</v>
      </c>
      <c r="K69" s="193" t="s">
        <v>686</v>
      </c>
    </row>
    <row r="70" spans="1:11" x14ac:dyDescent="0.3">
      <c r="A70" t="s">
        <v>160</v>
      </c>
      <c r="B70" t="s">
        <v>161</v>
      </c>
      <c r="C70">
        <v>1</v>
      </c>
      <c r="D70" t="s">
        <v>7</v>
      </c>
      <c r="E70">
        <f t="shared" si="1"/>
        <v>3380000</v>
      </c>
      <c r="F70">
        <v>3380000</v>
      </c>
      <c r="G70" t="s">
        <v>8</v>
      </c>
      <c r="H70" t="s">
        <v>1011</v>
      </c>
      <c r="I70" s="193" t="s">
        <v>736</v>
      </c>
      <c r="J70" s="193" t="s">
        <v>692</v>
      </c>
      <c r="K70" s="193" t="s">
        <v>686</v>
      </c>
    </row>
    <row r="71" spans="1:11" x14ac:dyDescent="0.3">
      <c r="A71" t="s">
        <v>162</v>
      </c>
      <c r="B71" t="s">
        <v>163</v>
      </c>
      <c r="C71">
        <v>1</v>
      </c>
      <c r="D71" t="s">
        <v>7</v>
      </c>
      <c r="E71">
        <f t="shared" si="1"/>
        <v>822000</v>
      </c>
      <c r="F71">
        <v>822000</v>
      </c>
      <c r="G71" t="s">
        <v>8</v>
      </c>
      <c r="H71" t="s">
        <v>737</v>
      </c>
      <c r="I71" s="193" t="s">
        <v>736</v>
      </c>
      <c r="J71" s="193" t="s">
        <v>692</v>
      </c>
      <c r="K71" s="193" t="s">
        <v>686</v>
      </c>
    </row>
    <row r="72" spans="1:11" x14ac:dyDescent="0.3">
      <c r="A72" t="s">
        <v>164</v>
      </c>
      <c r="B72" t="s">
        <v>165</v>
      </c>
      <c r="C72">
        <v>5</v>
      </c>
      <c r="D72" t="s">
        <v>166</v>
      </c>
      <c r="E72">
        <f t="shared" si="1"/>
        <v>300000</v>
      </c>
      <c r="F72">
        <v>1500000</v>
      </c>
      <c r="G72" t="s">
        <v>8</v>
      </c>
      <c r="H72" t="s">
        <v>1012</v>
      </c>
      <c r="I72" s="193" t="s">
        <v>736</v>
      </c>
      <c r="J72" s="193" t="s">
        <v>692</v>
      </c>
      <c r="K72" s="193" t="s">
        <v>686</v>
      </c>
    </row>
    <row r="73" spans="1:11" x14ac:dyDescent="0.3">
      <c r="A73" t="s">
        <v>167</v>
      </c>
      <c r="B73" t="s">
        <v>120</v>
      </c>
      <c r="C73">
        <v>1</v>
      </c>
      <c r="D73" t="s">
        <v>7</v>
      </c>
      <c r="E73">
        <f t="shared" si="1"/>
        <v>1150000</v>
      </c>
      <c r="F73">
        <v>1150000</v>
      </c>
      <c r="G73" t="s">
        <v>8</v>
      </c>
      <c r="H73" t="s">
        <v>1013</v>
      </c>
      <c r="I73" s="193" t="s">
        <v>736</v>
      </c>
      <c r="J73" s="193" t="s">
        <v>692</v>
      </c>
      <c r="K73" s="193" t="s">
        <v>686</v>
      </c>
    </row>
    <row r="74" spans="1:11" x14ac:dyDescent="0.3">
      <c r="A74" t="s">
        <v>168</v>
      </c>
      <c r="B74" t="s">
        <v>169</v>
      </c>
      <c r="C74">
        <v>1</v>
      </c>
      <c r="D74" t="s">
        <v>7</v>
      </c>
      <c r="E74">
        <f t="shared" si="1"/>
        <v>3250000</v>
      </c>
      <c r="F74">
        <v>3250000</v>
      </c>
      <c r="G74" t="s">
        <v>8</v>
      </c>
      <c r="H74" t="s">
        <v>1014</v>
      </c>
      <c r="I74" s="193" t="s">
        <v>736</v>
      </c>
      <c r="J74" s="193" t="s">
        <v>692</v>
      </c>
      <c r="K74" s="193" t="s">
        <v>686</v>
      </c>
    </row>
    <row r="75" spans="1:11" x14ac:dyDescent="0.3">
      <c r="A75" t="s">
        <v>170</v>
      </c>
      <c r="B75" t="s">
        <v>171</v>
      </c>
      <c r="C75">
        <v>1</v>
      </c>
      <c r="D75" t="s">
        <v>7</v>
      </c>
      <c r="E75">
        <f t="shared" si="1"/>
        <v>1601500</v>
      </c>
      <c r="F75">
        <v>1601500</v>
      </c>
      <c r="G75" t="s">
        <v>8</v>
      </c>
      <c r="H75" t="s">
        <v>1015</v>
      </c>
      <c r="I75" s="193" t="s">
        <v>736</v>
      </c>
      <c r="J75" s="193" t="s">
        <v>692</v>
      </c>
      <c r="K75" s="193" t="s">
        <v>686</v>
      </c>
    </row>
    <row r="76" spans="1:11" x14ac:dyDescent="0.3">
      <c r="A76" t="s">
        <v>172</v>
      </c>
      <c r="B76" t="s">
        <v>173</v>
      </c>
      <c r="C76">
        <v>21</v>
      </c>
      <c r="D76" t="s">
        <v>157</v>
      </c>
      <c r="E76">
        <f t="shared" si="1"/>
        <v>1035600</v>
      </c>
      <c r="F76">
        <v>21747600</v>
      </c>
      <c r="G76" t="s">
        <v>8</v>
      </c>
      <c r="H76" t="s">
        <v>1016</v>
      </c>
      <c r="I76" s="193" t="s">
        <v>738</v>
      </c>
      <c r="J76" s="193" t="s">
        <v>692</v>
      </c>
      <c r="K76" s="193" t="s">
        <v>686</v>
      </c>
    </row>
    <row r="77" spans="1:11" x14ac:dyDescent="0.3">
      <c r="A77" t="s">
        <v>174</v>
      </c>
      <c r="B77" t="s">
        <v>175</v>
      </c>
      <c r="C77">
        <v>21</v>
      </c>
      <c r="D77" t="s">
        <v>157</v>
      </c>
      <c r="E77">
        <f t="shared" si="1"/>
        <v>164400</v>
      </c>
      <c r="F77">
        <v>3452400</v>
      </c>
      <c r="G77" t="s">
        <v>8</v>
      </c>
      <c r="H77" t="s">
        <v>1017</v>
      </c>
      <c r="I77" s="193" t="s">
        <v>738</v>
      </c>
      <c r="J77" s="193" t="s">
        <v>692</v>
      </c>
      <c r="K77" s="193" t="s">
        <v>686</v>
      </c>
    </row>
    <row r="78" spans="1:11" x14ac:dyDescent="0.3">
      <c r="A78" t="s">
        <v>176</v>
      </c>
      <c r="B78" t="s">
        <v>177</v>
      </c>
      <c r="C78">
        <v>500</v>
      </c>
      <c r="D78" t="s">
        <v>59</v>
      </c>
      <c r="E78">
        <f t="shared" si="1"/>
        <v>350</v>
      </c>
      <c r="F78">
        <v>175000</v>
      </c>
      <c r="G78" t="s">
        <v>178</v>
      </c>
      <c r="H78" t="s">
        <v>1021</v>
      </c>
      <c r="I78" s="193" t="s">
        <v>1019</v>
      </c>
      <c r="J78" s="193" t="s">
        <v>692</v>
      </c>
      <c r="K78" s="193" t="s">
        <v>686</v>
      </c>
    </row>
    <row r="79" spans="1:11" x14ac:dyDescent="0.3">
      <c r="A79" t="s">
        <v>179</v>
      </c>
      <c r="B79" t="s">
        <v>180</v>
      </c>
      <c r="C79">
        <v>1</v>
      </c>
      <c r="D79" t="s">
        <v>181</v>
      </c>
      <c r="E79">
        <f t="shared" si="1"/>
        <v>29000</v>
      </c>
      <c r="F79">
        <v>29000</v>
      </c>
      <c r="G79" t="s">
        <v>178</v>
      </c>
      <c r="H79" t="s">
        <v>1021</v>
      </c>
      <c r="I79" s="193" t="s">
        <v>1019</v>
      </c>
      <c r="J79" s="193" t="s">
        <v>692</v>
      </c>
      <c r="K79" s="193" t="s">
        <v>686</v>
      </c>
    </row>
    <row r="80" spans="1:11" x14ac:dyDescent="0.3">
      <c r="A80" t="s">
        <v>182</v>
      </c>
      <c r="B80" t="s">
        <v>183</v>
      </c>
      <c r="C80">
        <v>2</v>
      </c>
      <c r="D80" t="s">
        <v>62</v>
      </c>
      <c r="E80">
        <f t="shared" si="1"/>
        <v>300000</v>
      </c>
      <c r="F80">
        <v>600000</v>
      </c>
      <c r="G80" t="s">
        <v>178</v>
      </c>
      <c r="H80" t="s">
        <v>1021</v>
      </c>
      <c r="I80" s="193" t="s">
        <v>1019</v>
      </c>
      <c r="J80" s="193" t="s">
        <v>692</v>
      </c>
      <c r="K80" s="193" t="s">
        <v>686</v>
      </c>
    </row>
    <row r="81" spans="1:11" x14ac:dyDescent="0.3">
      <c r="A81" t="s">
        <v>184</v>
      </c>
      <c r="B81" t="s">
        <v>185</v>
      </c>
      <c r="C81">
        <v>22</v>
      </c>
      <c r="D81" t="s">
        <v>131</v>
      </c>
      <c r="E81">
        <f t="shared" si="1"/>
        <v>42000</v>
      </c>
      <c r="F81">
        <v>924000</v>
      </c>
      <c r="G81" t="s">
        <v>178</v>
      </c>
      <c r="H81" t="s">
        <v>1021</v>
      </c>
      <c r="I81" s="193" t="s">
        <v>1019</v>
      </c>
      <c r="J81" s="193" t="s">
        <v>692</v>
      </c>
      <c r="K81" s="193" t="s">
        <v>686</v>
      </c>
    </row>
    <row r="82" spans="1:11" x14ac:dyDescent="0.3">
      <c r="A82" t="s">
        <v>186</v>
      </c>
      <c r="B82" t="s">
        <v>187</v>
      </c>
      <c r="C82">
        <v>1</v>
      </c>
      <c r="D82" t="s">
        <v>188</v>
      </c>
      <c r="E82">
        <f t="shared" si="1"/>
        <v>250000</v>
      </c>
      <c r="F82">
        <v>250000</v>
      </c>
      <c r="G82" t="s">
        <v>178</v>
      </c>
      <c r="H82" t="s">
        <v>1021</v>
      </c>
      <c r="I82" s="193" t="s">
        <v>1019</v>
      </c>
      <c r="J82" s="193" t="s">
        <v>692</v>
      </c>
      <c r="K82" s="193" t="s">
        <v>686</v>
      </c>
    </row>
    <row r="83" spans="1:11" x14ac:dyDescent="0.3">
      <c r="A83" t="s">
        <v>189</v>
      </c>
      <c r="B83" t="s">
        <v>190</v>
      </c>
      <c r="C83">
        <v>1</v>
      </c>
      <c r="D83" t="s">
        <v>62</v>
      </c>
      <c r="E83">
        <f t="shared" si="1"/>
        <v>250000</v>
      </c>
      <c r="F83">
        <v>250000</v>
      </c>
      <c r="G83" t="s">
        <v>178</v>
      </c>
      <c r="H83" t="s">
        <v>1021</v>
      </c>
      <c r="I83" s="193" t="s">
        <v>1019</v>
      </c>
      <c r="J83" s="193" t="s">
        <v>692</v>
      </c>
      <c r="K83" s="193" t="s">
        <v>686</v>
      </c>
    </row>
    <row r="84" spans="1:11" x14ac:dyDescent="0.3">
      <c r="A84" t="s">
        <v>191</v>
      </c>
      <c r="B84" t="s">
        <v>192</v>
      </c>
      <c r="C84">
        <v>2</v>
      </c>
      <c r="D84" t="s">
        <v>157</v>
      </c>
      <c r="E84">
        <f t="shared" si="1"/>
        <v>250000</v>
      </c>
      <c r="F84">
        <v>500000</v>
      </c>
      <c r="G84" t="s">
        <v>178</v>
      </c>
      <c r="H84" t="s">
        <v>1021</v>
      </c>
      <c r="I84" s="193" t="s">
        <v>1019</v>
      </c>
      <c r="J84" s="193" t="s">
        <v>692</v>
      </c>
      <c r="K84" s="193" t="s">
        <v>686</v>
      </c>
    </row>
    <row r="85" spans="1:11" x14ac:dyDescent="0.3">
      <c r="A85" t="s">
        <v>193</v>
      </c>
      <c r="B85" t="s">
        <v>194</v>
      </c>
      <c r="C85">
        <v>1</v>
      </c>
      <c r="D85" t="s">
        <v>188</v>
      </c>
      <c r="E85">
        <f t="shared" si="1"/>
        <v>1500000</v>
      </c>
      <c r="F85">
        <v>1500000</v>
      </c>
      <c r="G85" t="s">
        <v>178</v>
      </c>
      <c r="H85" t="s">
        <v>1021</v>
      </c>
      <c r="I85" s="193" t="s">
        <v>1019</v>
      </c>
      <c r="J85" s="193" t="s">
        <v>692</v>
      </c>
      <c r="K85" s="193" t="s">
        <v>686</v>
      </c>
    </row>
    <row r="86" spans="1:11" x14ac:dyDescent="0.3">
      <c r="A86" t="s">
        <v>195</v>
      </c>
      <c r="B86" t="s">
        <v>196</v>
      </c>
      <c r="C86">
        <v>90</v>
      </c>
      <c r="D86" t="s">
        <v>197</v>
      </c>
      <c r="E86">
        <f t="shared" si="1"/>
        <v>10000</v>
      </c>
      <c r="F86">
        <v>900000</v>
      </c>
      <c r="G86" t="s">
        <v>178</v>
      </c>
      <c r="H86" t="s">
        <v>1021</v>
      </c>
      <c r="I86" s="193" t="s">
        <v>1019</v>
      </c>
      <c r="J86" s="193" t="s">
        <v>692</v>
      </c>
      <c r="K86" s="193" t="s">
        <v>686</v>
      </c>
    </row>
    <row r="87" spans="1:11" x14ac:dyDescent="0.3">
      <c r="A87" t="s">
        <v>198</v>
      </c>
      <c r="B87" t="s">
        <v>199</v>
      </c>
      <c r="C87">
        <v>2</v>
      </c>
      <c r="D87" t="s">
        <v>200</v>
      </c>
      <c r="E87">
        <f t="shared" si="1"/>
        <v>50000</v>
      </c>
      <c r="F87">
        <v>100000</v>
      </c>
      <c r="G87" t="s">
        <v>178</v>
      </c>
      <c r="H87" t="s">
        <v>1021</v>
      </c>
      <c r="I87" s="193" t="s">
        <v>1019</v>
      </c>
      <c r="J87" s="193" t="s">
        <v>692</v>
      </c>
      <c r="K87" s="193" t="s">
        <v>686</v>
      </c>
    </row>
    <row r="88" spans="1:11" x14ac:dyDescent="0.3">
      <c r="A88" t="s">
        <v>201</v>
      </c>
      <c r="B88" t="s">
        <v>202</v>
      </c>
      <c r="C88">
        <v>1</v>
      </c>
      <c r="D88" t="s">
        <v>7</v>
      </c>
      <c r="E88">
        <f t="shared" si="1"/>
        <v>2000000</v>
      </c>
      <c r="F88">
        <v>2000000</v>
      </c>
      <c r="G88" t="s">
        <v>178</v>
      </c>
      <c r="H88" t="s">
        <v>1025</v>
      </c>
      <c r="I88" s="193" t="s">
        <v>1019</v>
      </c>
      <c r="J88" s="193" t="s">
        <v>692</v>
      </c>
      <c r="K88" s="193" t="s">
        <v>686</v>
      </c>
    </row>
    <row r="89" spans="1:11" x14ac:dyDescent="0.3">
      <c r="A89" t="s">
        <v>203</v>
      </c>
      <c r="B89" t="s">
        <v>204</v>
      </c>
      <c r="C89">
        <v>12</v>
      </c>
      <c r="D89" t="s">
        <v>205</v>
      </c>
      <c r="E89">
        <f t="shared" si="1"/>
        <v>9500000</v>
      </c>
      <c r="F89">
        <v>114000000</v>
      </c>
      <c r="G89" t="s">
        <v>77</v>
      </c>
      <c r="H89" t="s">
        <v>741</v>
      </c>
      <c r="I89" s="193" t="s">
        <v>739</v>
      </c>
      <c r="J89" s="193" t="s">
        <v>692</v>
      </c>
      <c r="K89" s="193" t="s">
        <v>686</v>
      </c>
    </row>
    <row r="90" spans="1:11" x14ac:dyDescent="0.3">
      <c r="A90" t="s">
        <v>206</v>
      </c>
      <c r="B90" t="s">
        <v>207</v>
      </c>
      <c r="C90">
        <v>12</v>
      </c>
      <c r="D90" t="s">
        <v>16</v>
      </c>
      <c r="E90">
        <f t="shared" si="1"/>
        <v>3800000</v>
      </c>
      <c r="F90">
        <v>45600000</v>
      </c>
      <c r="G90" t="s">
        <v>77</v>
      </c>
      <c r="H90" t="s">
        <v>744</v>
      </c>
      <c r="I90" s="193" t="s">
        <v>742</v>
      </c>
      <c r="J90" s="193" t="s">
        <v>692</v>
      </c>
      <c r="K90" s="193" t="s">
        <v>686</v>
      </c>
    </row>
    <row r="91" spans="1:11" x14ac:dyDescent="0.3">
      <c r="A91" t="s">
        <v>208</v>
      </c>
      <c r="B91" t="s">
        <v>209</v>
      </c>
      <c r="C91">
        <v>12</v>
      </c>
      <c r="D91" t="s">
        <v>16</v>
      </c>
      <c r="E91">
        <f t="shared" si="1"/>
        <v>2850000</v>
      </c>
      <c r="F91">
        <v>34200000</v>
      </c>
      <c r="G91" t="s">
        <v>77</v>
      </c>
      <c r="H91" t="s">
        <v>744</v>
      </c>
      <c r="I91" s="193" t="s">
        <v>742</v>
      </c>
      <c r="J91" s="193" t="s">
        <v>692</v>
      </c>
      <c r="K91" s="193" t="s">
        <v>686</v>
      </c>
    </row>
    <row r="92" spans="1:11" x14ac:dyDescent="0.3">
      <c r="A92" t="s">
        <v>210</v>
      </c>
      <c r="B92" t="s">
        <v>211</v>
      </c>
      <c r="C92">
        <v>12</v>
      </c>
      <c r="D92" t="s">
        <v>16</v>
      </c>
      <c r="E92">
        <f t="shared" si="1"/>
        <v>2850000</v>
      </c>
      <c r="F92">
        <v>34200000</v>
      </c>
      <c r="G92" t="s">
        <v>77</v>
      </c>
      <c r="H92" t="s">
        <v>744</v>
      </c>
      <c r="I92" s="193" t="s">
        <v>742</v>
      </c>
      <c r="J92" s="193" t="s">
        <v>692</v>
      </c>
      <c r="K92" s="193" t="s">
        <v>686</v>
      </c>
    </row>
    <row r="93" spans="1:11" x14ac:dyDescent="0.3">
      <c r="A93" t="s">
        <v>212</v>
      </c>
      <c r="B93" t="s">
        <v>213</v>
      </c>
      <c r="C93">
        <v>12</v>
      </c>
      <c r="D93" t="s">
        <v>16</v>
      </c>
      <c r="E93">
        <f t="shared" si="1"/>
        <v>2850000</v>
      </c>
      <c r="F93">
        <v>34200000</v>
      </c>
      <c r="G93" t="s">
        <v>77</v>
      </c>
      <c r="H93" t="s">
        <v>744</v>
      </c>
      <c r="I93" s="193" t="s">
        <v>742</v>
      </c>
      <c r="J93" s="193" t="s">
        <v>692</v>
      </c>
      <c r="K93" s="193" t="s">
        <v>686</v>
      </c>
    </row>
    <row r="94" spans="1:11" x14ac:dyDescent="0.3">
      <c r="A94" t="s">
        <v>214</v>
      </c>
      <c r="B94" t="s">
        <v>215</v>
      </c>
      <c r="C94">
        <v>12</v>
      </c>
      <c r="D94" t="s">
        <v>16</v>
      </c>
      <c r="E94">
        <f t="shared" si="1"/>
        <v>2850000</v>
      </c>
      <c r="F94">
        <v>34200000</v>
      </c>
      <c r="G94" t="s">
        <v>77</v>
      </c>
      <c r="H94" t="s">
        <v>744</v>
      </c>
      <c r="I94" s="193" t="s">
        <v>742</v>
      </c>
      <c r="J94" s="193" t="s">
        <v>692</v>
      </c>
      <c r="K94" s="193" t="s">
        <v>686</v>
      </c>
    </row>
    <row r="95" spans="1:11" x14ac:dyDescent="0.3">
      <c r="A95" t="s">
        <v>216</v>
      </c>
      <c r="B95" t="s">
        <v>217</v>
      </c>
      <c r="C95">
        <v>11</v>
      </c>
      <c r="D95" t="s">
        <v>16</v>
      </c>
      <c r="E95">
        <f t="shared" si="1"/>
        <v>2850000</v>
      </c>
      <c r="F95">
        <v>31350000</v>
      </c>
      <c r="G95" t="s">
        <v>77</v>
      </c>
      <c r="H95" t="s">
        <v>744</v>
      </c>
      <c r="I95" s="193" t="s">
        <v>742</v>
      </c>
      <c r="J95" s="193" t="s">
        <v>692</v>
      </c>
      <c r="K95" s="193" t="s">
        <v>686</v>
      </c>
    </row>
    <row r="96" spans="1:11" x14ac:dyDescent="0.3">
      <c r="A96" t="s">
        <v>218</v>
      </c>
      <c r="B96" t="s">
        <v>219</v>
      </c>
      <c r="C96">
        <v>12</v>
      </c>
      <c r="D96" t="s">
        <v>16</v>
      </c>
      <c r="E96">
        <f t="shared" si="1"/>
        <v>3325000</v>
      </c>
      <c r="F96">
        <v>39900000</v>
      </c>
      <c r="G96" t="s">
        <v>77</v>
      </c>
      <c r="H96" t="s">
        <v>744</v>
      </c>
      <c r="I96" s="193" t="s">
        <v>742</v>
      </c>
      <c r="J96" s="193" t="s">
        <v>692</v>
      </c>
      <c r="K96" s="193" t="s">
        <v>686</v>
      </c>
    </row>
    <row r="97" spans="1:11" x14ac:dyDescent="0.3">
      <c r="A97" t="s">
        <v>220</v>
      </c>
      <c r="B97" t="s">
        <v>221</v>
      </c>
      <c r="C97">
        <v>12</v>
      </c>
      <c r="D97" t="s">
        <v>16</v>
      </c>
      <c r="E97">
        <f t="shared" si="1"/>
        <v>3325000</v>
      </c>
      <c r="F97">
        <v>39900000</v>
      </c>
      <c r="G97" t="s">
        <v>77</v>
      </c>
      <c r="H97" t="s">
        <v>744</v>
      </c>
      <c r="I97" s="193" t="s">
        <v>742</v>
      </c>
      <c r="J97" s="193" t="s">
        <v>692</v>
      </c>
      <c r="K97" s="193" t="s">
        <v>686</v>
      </c>
    </row>
    <row r="98" spans="1:11" x14ac:dyDescent="0.3">
      <c r="A98" t="s">
        <v>222</v>
      </c>
      <c r="B98" t="s">
        <v>223</v>
      </c>
      <c r="C98">
        <v>12</v>
      </c>
      <c r="D98" t="s">
        <v>16</v>
      </c>
      <c r="E98">
        <f t="shared" si="1"/>
        <v>3325000</v>
      </c>
      <c r="F98">
        <v>39900000</v>
      </c>
      <c r="G98" t="s">
        <v>77</v>
      </c>
      <c r="H98" t="s">
        <v>744</v>
      </c>
      <c r="I98" s="193" t="s">
        <v>742</v>
      </c>
      <c r="J98" s="193" t="s">
        <v>692</v>
      </c>
      <c r="K98" s="193" t="s">
        <v>686</v>
      </c>
    </row>
    <row r="99" spans="1:11" x14ac:dyDescent="0.3">
      <c r="A99" t="s">
        <v>224</v>
      </c>
      <c r="B99" t="s">
        <v>225</v>
      </c>
      <c r="C99">
        <v>10</v>
      </c>
      <c r="D99" t="s">
        <v>157</v>
      </c>
      <c r="E99">
        <f t="shared" si="1"/>
        <v>1500000</v>
      </c>
      <c r="F99">
        <v>15000000</v>
      </c>
      <c r="G99" t="s">
        <v>8</v>
      </c>
      <c r="H99" t="s">
        <v>1026</v>
      </c>
      <c r="I99" s="193" t="s">
        <v>742</v>
      </c>
      <c r="J99" s="193" t="s">
        <v>692</v>
      </c>
      <c r="K99" s="193" t="s">
        <v>686</v>
      </c>
    </row>
    <row r="100" spans="1:11" x14ac:dyDescent="0.3">
      <c r="A100" t="s">
        <v>226</v>
      </c>
      <c r="B100" t="s">
        <v>227</v>
      </c>
      <c r="C100">
        <v>2</v>
      </c>
      <c r="D100" t="s">
        <v>16</v>
      </c>
      <c r="E100">
        <f t="shared" si="1"/>
        <v>1425000</v>
      </c>
      <c r="F100">
        <v>2850000</v>
      </c>
      <c r="G100" t="s">
        <v>77</v>
      </c>
      <c r="H100" t="s">
        <v>1027</v>
      </c>
      <c r="I100" s="193" t="s">
        <v>742</v>
      </c>
      <c r="J100" s="193" t="s">
        <v>692</v>
      </c>
      <c r="K100" s="193" t="s">
        <v>686</v>
      </c>
    </row>
    <row r="101" spans="1:11" x14ac:dyDescent="0.3">
      <c r="A101" t="s">
        <v>228</v>
      </c>
      <c r="B101" t="s">
        <v>229</v>
      </c>
      <c r="C101">
        <v>9</v>
      </c>
      <c r="D101" t="s">
        <v>16</v>
      </c>
      <c r="E101">
        <f t="shared" si="1"/>
        <v>2850000</v>
      </c>
      <c r="F101">
        <v>25650000</v>
      </c>
      <c r="G101" t="s">
        <v>77</v>
      </c>
      <c r="H101" t="s">
        <v>1027</v>
      </c>
      <c r="I101" s="193" t="s">
        <v>742</v>
      </c>
      <c r="J101" s="193" t="s">
        <v>692</v>
      </c>
      <c r="K101" s="193" t="s">
        <v>686</v>
      </c>
    </row>
    <row r="102" spans="1:11" x14ac:dyDescent="0.3">
      <c r="A102" t="s">
        <v>230</v>
      </c>
      <c r="B102" t="s">
        <v>231</v>
      </c>
      <c r="C102">
        <v>1</v>
      </c>
      <c r="D102" t="s">
        <v>7</v>
      </c>
      <c r="E102">
        <f t="shared" si="1"/>
        <v>30000000</v>
      </c>
      <c r="F102">
        <v>30000000</v>
      </c>
      <c r="G102" t="s">
        <v>77</v>
      </c>
      <c r="H102" t="s">
        <v>1028</v>
      </c>
      <c r="I102" s="193" t="s">
        <v>745</v>
      </c>
      <c r="J102" s="193" t="s">
        <v>692</v>
      </c>
      <c r="K102" s="193" t="s">
        <v>686</v>
      </c>
    </row>
    <row r="103" spans="1:11" x14ac:dyDescent="0.3">
      <c r="A103" t="s">
        <v>232</v>
      </c>
      <c r="B103" t="s">
        <v>233</v>
      </c>
      <c r="C103">
        <v>12</v>
      </c>
      <c r="D103" t="s">
        <v>205</v>
      </c>
      <c r="E103">
        <f t="shared" si="1"/>
        <v>250000</v>
      </c>
      <c r="F103">
        <v>3000000</v>
      </c>
      <c r="G103" t="s">
        <v>77</v>
      </c>
      <c r="H103" t="s">
        <v>1029</v>
      </c>
      <c r="I103" s="193" t="s">
        <v>747</v>
      </c>
      <c r="J103" s="193" t="s">
        <v>692</v>
      </c>
      <c r="K103" s="193" t="s">
        <v>686</v>
      </c>
    </row>
    <row r="104" spans="1:11" x14ac:dyDescent="0.3">
      <c r="A104" t="s">
        <v>234</v>
      </c>
      <c r="B104" t="s">
        <v>235</v>
      </c>
      <c r="C104">
        <v>12</v>
      </c>
      <c r="D104" t="s">
        <v>16</v>
      </c>
      <c r="E104">
        <f t="shared" si="1"/>
        <v>500000</v>
      </c>
      <c r="F104">
        <v>6000000</v>
      </c>
      <c r="G104" t="s">
        <v>77</v>
      </c>
      <c r="H104" t="s">
        <v>1029</v>
      </c>
      <c r="I104" s="193" t="s">
        <v>747</v>
      </c>
      <c r="J104" s="193" t="s">
        <v>692</v>
      </c>
      <c r="K104" s="193" t="s">
        <v>686</v>
      </c>
    </row>
    <row r="105" spans="1:11" x14ac:dyDescent="0.3">
      <c r="A105" t="s">
        <v>236</v>
      </c>
      <c r="B105" t="s">
        <v>237</v>
      </c>
      <c r="C105">
        <v>1</v>
      </c>
      <c r="D105" t="s">
        <v>7</v>
      </c>
      <c r="E105">
        <f t="shared" si="1"/>
        <v>2000000</v>
      </c>
      <c r="F105">
        <v>2000000</v>
      </c>
      <c r="G105" t="s">
        <v>77</v>
      </c>
      <c r="H105" t="s">
        <v>1029</v>
      </c>
      <c r="I105" s="193" t="s">
        <v>747</v>
      </c>
      <c r="J105" s="193" t="s">
        <v>692</v>
      </c>
      <c r="K105" s="193" t="s">
        <v>686</v>
      </c>
    </row>
    <row r="106" spans="1:11" x14ac:dyDescent="0.3">
      <c r="A106" t="s">
        <v>238</v>
      </c>
      <c r="B106" t="s">
        <v>239</v>
      </c>
      <c r="C106">
        <v>3</v>
      </c>
      <c r="D106" t="s">
        <v>157</v>
      </c>
      <c r="E106">
        <f t="shared" si="1"/>
        <v>1800000</v>
      </c>
      <c r="F106">
        <v>5400000</v>
      </c>
      <c r="G106" t="s">
        <v>77</v>
      </c>
      <c r="H106" t="s">
        <v>1029</v>
      </c>
      <c r="I106" s="193" t="s">
        <v>747</v>
      </c>
      <c r="J106" s="193" t="s">
        <v>692</v>
      </c>
      <c r="K106" s="193" t="s">
        <v>686</v>
      </c>
    </row>
    <row r="107" spans="1:11" x14ac:dyDescent="0.3">
      <c r="A107" t="s">
        <v>240</v>
      </c>
      <c r="B107" t="s">
        <v>241</v>
      </c>
      <c r="C107">
        <v>1</v>
      </c>
      <c r="D107" t="s">
        <v>7</v>
      </c>
      <c r="E107">
        <f t="shared" si="1"/>
        <v>4275000</v>
      </c>
      <c r="F107">
        <v>4275000</v>
      </c>
      <c r="G107" t="s">
        <v>77</v>
      </c>
      <c r="H107" t="s">
        <v>1030</v>
      </c>
      <c r="I107" s="193" t="s">
        <v>750</v>
      </c>
      <c r="J107" s="193" t="s">
        <v>692</v>
      </c>
      <c r="K107" s="193" t="s">
        <v>686</v>
      </c>
    </row>
    <row r="108" spans="1:11" x14ac:dyDescent="0.3">
      <c r="A108" t="s">
        <v>242</v>
      </c>
      <c r="B108" t="s">
        <v>243</v>
      </c>
      <c r="C108">
        <v>1</v>
      </c>
      <c r="D108" t="s">
        <v>7</v>
      </c>
      <c r="E108">
        <f t="shared" si="1"/>
        <v>5750000</v>
      </c>
      <c r="F108">
        <v>5750000</v>
      </c>
      <c r="G108" t="s">
        <v>77</v>
      </c>
      <c r="H108" t="s">
        <v>1031</v>
      </c>
      <c r="I108" s="193" t="s">
        <v>757</v>
      </c>
      <c r="J108" s="193" t="s">
        <v>751</v>
      </c>
      <c r="K108" s="193" t="s">
        <v>686</v>
      </c>
    </row>
    <row r="109" spans="1:11" x14ac:dyDescent="0.3">
      <c r="A109" t="s">
        <v>244</v>
      </c>
      <c r="B109" t="s">
        <v>245</v>
      </c>
      <c r="C109">
        <v>1</v>
      </c>
      <c r="D109" t="s">
        <v>7</v>
      </c>
      <c r="E109">
        <f t="shared" si="1"/>
        <v>1500000</v>
      </c>
      <c r="F109">
        <v>1500000</v>
      </c>
      <c r="G109" t="s">
        <v>77</v>
      </c>
      <c r="H109" t="s">
        <v>1032</v>
      </c>
      <c r="I109" s="193" t="s">
        <v>757</v>
      </c>
      <c r="J109" s="193" t="s">
        <v>751</v>
      </c>
      <c r="K109" s="193" t="s">
        <v>686</v>
      </c>
    </row>
    <row r="110" spans="1:11" x14ac:dyDescent="0.3">
      <c r="A110" t="s">
        <v>246</v>
      </c>
      <c r="B110" t="s">
        <v>247</v>
      </c>
      <c r="C110">
        <v>1</v>
      </c>
      <c r="D110" t="s">
        <v>7</v>
      </c>
      <c r="E110">
        <f t="shared" si="1"/>
        <v>1000000</v>
      </c>
      <c r="F110">
        <v>1000000</v>
      </c>
      <c r="G110" t="s">
        <v>77</v>
      </c>
      <c r="H110" t="s">
        <v>1034</v>
      </c>
      <c r="I110" s="193" t="s">
        <v>764</v>
      </c>
      <c r="J110" s="193" t="s">
        <v>762</v>
      </c>
      <c r="K110" s="193" t="s">
        <v>686</v>
      </c>
    </row>
    <row r="111" spans="1:11" x14ac:dyDescent="0.3">
      <c r="A111" t="s">
        <v>248</v>
      </c>
      <c r="B111" t="s">
        <v>249</v>
      </c>
      <c r="C111">
        <v>1</v>
      </c>
      <c r="D111" t="s">
        <v>7</v>
      </c>
      <c r="E111">
        <f t="shared" si="1"/>
        <v>668000</v>
      </c>
      <c r="F111">
        <v>668000</v>
      </c>
      <c r="G111" t="s">
        <v>77</v>
      </c>
      <c r="H111" t="s">
        <v>1035</v>
      </c>
      <c r="I111" s="193" t="s">
        <v>772</v>
      </c>
      <c r="J111" s="193" t="s">
        <v>769</v>
      </c>
      <c r="K111" s="193" t="s">
        <v>686</v>
      </c>
    </row>
    <row r="112" spans="1:11" x14ac:dyDescent="0.3">
      <c r="A112" t="s">
        <v>250</v>
      </c>
      <c r="B112" t="s">
        <v>251</v>
      </c>
      <c r="C112">
        <v>1</v>
      </c>
      <c r="D112" t="s">
        <v>13</v>
      </c>
      <c r="E112">
        <f t="shared" si="1"/>
        <v>4000000</v>
      </c>
      <c r="F112">
        <v>4000000</v>
      </c>
      <c r="G112" t="s">
        <v>77</v>
      </c>
      <c r="H112" t="s">
        <v>1036</v>
      </c>
      <c r="I112" s="193" t="s">
        <v>772</v>
      </c>
      <c r="J112" s="193" t="s">
        <v>769</v>
      </c>
      <c r="K112" s="193" t="s">
        <v>686</v>
      </c>
    </row>
    <row r="113" spans="1:11" x14ac:dyDescent="0.3">
      <c r="A113" t="s">
        <v>252</v>
      </c>
      <c r="B113" t="s">
        <v>253</v>
      </c>
      <c r="C113">
        <v>1</v>
      </c>
      <c r="D113" t="s">
        <v>7</v>
      </c>
      <c r="E113">
        <f t="shared" si="1"/>
        <v>4900000</v>
      </c>
      <c r="F113">
        <v>4900000</v>
      </c>
      <c r="G113" t="s">
        <v>77</v>
      </c>
      <c r="H113" t="s">
        <v>1037</v>
      </c>
      <c r="I113" s="193" t="s">
        <v>772</v>
      </c>
      <c r="J113" s="193" t="s">
        <v>769</v>
      </c>
      <c r="K113" s="193" t="s">
        <v>686</v>
      </c>
    </row>
    <row r="114" spans="1:11" x14ac:dyDescent="0.3">
      <c r="A114" t="s">
        <v>254</v>
      </c>
      <c r="B114" t="s">
        <v>255</v>
      </c>
      <c r="C114">
        <v>36</v>
      </c>
      <c r="D114" t="s">
        <v>256</v>
      </c>
      <c r="E114">
        <f t="shared" si="1"/>
        <v>25000</v>
      </c>
      <c r="F114">
        <v>900000</v>
      </c>
      <c r="G114" t="s">
        <v>8</v>
      </c>
      <c r="H114" t="s">
        <v>1045</v>
      </c>
      <c r="I114" s="193" t="s">
        <v>772</v>
      </c>
      <c r="J114" s="193" t="s">
        <v>769</v>
      </c>
      <c r="K114" s="193" t="s">
        <v>686</v>
      </c>
    </row>
    <row r="115" spans="1:11" x14ac:dyDescent="0.3">
      <c r="A115" t="s">
        <v>257</v>
      </c>
      <c r="B115" t="s">
        <v>258</v>
      </c>
      <c r="C115">
        <v>1</v>
      </c>
      <c r="D115" t="s">
        <v>62</v>
      </c>
      <c r="E115">
        <f t="shared" si="1"/>
        <v>100000</v>
      </c>
      <c r="F115">
        <v>100000</v>
      </c>
      <c r="G115" t="s">
        <v>8</v>
      </c>
      <c r="H115" t="s">
        <v>1045</v>
      </c>
      <c r="I115" s="193" t="s">
        <v>772</v>
      </c>
      <c r="J115" s="193" t="s">
        <v>769</v>
      </c>
      <c r="K115" s="193" t="s">
        <v>686</v>
      </c>
    </row>
    <row r="116" spans="1:11" x14ac:dyDescent="0.3">
      <c r="A116" t="s">
        <v>259</v>
      </c>
      <c r="B116" t="s">
        <v>260</v>
      </c>
      <c r="C116">
        <v>40</v>
      </c>
      <c r="D116" t="s">
        <v>256</v>
      </c>
      <c r="E116">
        <f t="shared" si="1"/>
        <v>25000</v>
      </c>
      <c r="F116">
        <v>1000000</v>
      </c>
      <c r="G116" t="s">
        <v>69</v>
      </c>
      <c r="H116" t="s">
        <v>1048</v>
      </c>
      <c r="I116" s="193" t="s">
        <v>772</v>
      </c>
      <c r="J116" s="193" t="s">
        <v>769</v>
      </c>
      <c r="K116" s="193" t="s">
        <v>686</v>
      </c>
    </row>
    <row r="117" spans="1:11" x14ac:dyDescent="0.3">
      <c r="A117" t="s">
        <v>261</v>
      </c>
      <c r="B117" t="s">
        <v>262</v>
      </c>
      <c r="C117">
        <v>1</v>
      </c>
      <c r="D117" t="s">
        <v>62</v>
      </c>
      <c r="E117">
        <f t="shared" si="1"/>
        <v>100000</v>
      </c>
      <c r="F117">
        <v>100000</v>
      </c>
      <c r="G117" t="s">
        <v>69</v>
      </c>
      <c r="H117" t="s">
        <v>1048</v>
      </c>
      <c r="I117" s="193" t="s">
        <v>772</v>
      </c>
      <c r="J117" s="193" t="s">
        <v>769</v>
      </c>
      <c r="K117" s="193" t="s">
        <v>686</v>
      </c>
    </row>
    <row r="118" spans="1:11" x14ac:dyDescent="0.3">
      <c r="A118" t="s">
        <v>263</v>
      </c>
      <c r="B118" t="s">
        <v>264</v>
      </c>
      <c r="C118">
        <v>55</v>
      </c>
      <c r="D118" t="s">
        <v>265</v>
      </c>
      <c r="E118">
        <f t="shared" si="1"/>
        <v>12000</v>
      </c>
      <c r="F118">
        <v>660000</v>
      </c>
      <c r="G118" t="s">
        <v>69</v>
      </c>
      <c r="H118" t="s">
        <v>1049</v>
      </c>
      <c r="I118" s="193" t="s">
        <v>772</v>
      </c>
      <c r="J118" s="193" t="s">
        <v>769</v>
      </c>
      <c r="K118" s="193" t="s">
        <v>686</v>
      </c>
    </row>
    <row r="119" spans="1:11" x14ac:dyDescent="0.3">
      <c r="A119" t="s">
        <v>266</v>
      </c>
      <c r="B119" t="s">
        <v>267</v>
      </c>
      <c r="C119">
        <v>12</v>
      </c>
      <c r="D119" t="s">
        <v>268</v>
      </c>
      <c r="E119">
        <f t="shared" si="1"/>
        <v>182600</v>
      </c>
      <c r="F119">
        <v>2191200</v>
      </c>
      <c r="G119" t="s">
        <v>69</v>
      </c>
      <c r="H119" t="s">
        <v>1050</v>
      </c>
      <c r="I119" s="193" t="s">
        <v>772</v>
      </c>
      <c r="J119" s="193" t="s">
        <v>769</v>
      </c>
      <c r="K119" s="193" t="s">
        <v>686</v>
      </c>
    </row>
    <row r="120" spans="1:11" x14ac:dyDescent="0.3">
      <c r="A120" t="s">
        <v>269</v>
      </c>
      <c r="B120" t="s">
        <v>270</v>
      </c>
      <c r="C120">
        <v>1</v>
      </c>
      <c r="D120" t="s">
        <v>62</v>
      </c>
      <c r="E120">
        <f t="shared" si="1"/>
        <v>97800</v>
      </c>
      <c r="F120">
        <v>97800</v>
      </c>
      <c r="G120" t="s">
        <v>69</v>
      </c>
      <c r="H120" t="s">
        <v>1050</v>
      </c>
      <c r="I120" s="193" t="s">
        <v>772</v>
      </c>
      <c r="J120" s="193" t="s">
        <v>769</v>
      </c>
      <c r="K120" s="193" t="s">
        <v>686</v>
      </c>
    </row>
    <row r="121" spans="1:11" x14ac:dyDescent="0.3">
      <c r="A121" t="s">
        <v>271</v>
      </c>
      <c r="B121" t="s">
        <v>272</v>
      </c>
      <c r="C121">
        <v>85</v>
      </c>
      <c r="D121" t="s">
        <v>265</v>
      </c>
      <c r="E121">
        <f t="shared" si="1"/>
        <v>25000</v>
      </c>
      <c r="F121">
        <v>2125000</v>
      </c>
      <c r="G121" t="s">
        <v>69</v>
      </c>
      <c r="H121" t="s">
        <v>1051</v>
      </c>
      <c r="I121" s="193" t="s">
        <v>772</v>
      </c>
      <c r="J121" s="193" t="s">
        <v>769</v>
      </c>
      <c r="K121" s="193" t="s">
        <v>686</v>
      </c>
    </row>
    <row r="122" spans="1:11" x14ac:dyDescent="0.3">
      <c r="A122" t="s">
        <v>273</v>
      </c>
      <c r="B122" t="s">
        <v>274</v>
      </c>
      <c r="C122">
        <v>85</v>
      </c>
      <c r="D122" t="s">
        <v>7</v>
      </c>
      <c r="E122">
        <f t="shared" si="1"/>
        <v>10000</v>
      </c>
      <c r="F122">
        <v>850000</v>
      </c>
      <c r="G122" t="s">
        <v>69</v>
      </c>
      <c r="H122" t="s">
        <v>1051</v>
      </c>
      <c r="I122" s="193" t="s">
        <v>772</v>
      </c>
      <c r="J122" s="193" t="s">
        <v>769</v>
      </c>
      <c r="K122" s="193" t="s">
        <v>686</v>
      </c>
    </row>
    <row r="123" spans="1:11" x14ac:dyDescent="0.3">
      <c r="A123" t="s">
        <v>275</v>
      </c>
      <c r="B123" t="s">
        <v>276</v>
      </c>
      <c r="C123">
        <v>1</v>
      </c>
      <c r="D123" t="s">
        <v>131</v>
      </c>
      <c r="E123">
        <f t="shared" si="1"/>
        <v>53000</v>
      </c>
      <c r="F123">
        <v>53000</v>
      </c>
      <c r="G123" t="s">
        <v>69</v>
      </c>
      <c r="H123" t="s">
        <v>1051</v>
      </c>
      <c r="I123" s="193" t="s">
        <v>772</v>
      </c>
      <c r="J123" s="193" t="s">
        <v>769</v>
      </c>
      <c r="K123" s="193" t="s">
        <v>686</v>
      </c>
    </row>
    <row r="124" spans="1:11" x14ac:dyDescent="0.3">
      <c r="A124" t="s">
        <v>277</v>
      </c>
      <c r="B124" t="s">
        <v>278</v>
      </c>
      <c r="C124">
        <v>1</v>
      </c>
      <c r="D124" t="s">
        <v>62</v>
      </c>
      <c r="E124">
        <f t="shared" si="1"/>
        <v>122000</v>
      </c>
      <c r="F124">
        <v>122000</v>
      </c>
      <c r="G124" t="s">
        <v>69</v>
      </c>
      <c r="H124" t="s">
        <v>1051</v>
      </c>
      <c r="I124" s="193" t="s">
        <v>772</v>
      </c>
      <c r="J124" s="193" t="s">
        <v>769</v>
      </c>
      <c r="K124" s="193" t="s">
        <v>686</v>
      </c>
    </row>
    <row r="125" spans="1:11" x14ac:dyDescent="0.3">
      <c r="A125" t="s">
        <v>279</v>
      </c>
      <c r="B125" t="s">
        <v>280</v>
      </c>
      <c r="C125">
        <v>76</v>
      </c>
      <c r="D125" t="s">
        <v>256</v>
      </c>
      <c r="E125">
        <f t="shared" si="1"/>
        <v>20000</v>
      </c>
      <c r="F125">
        <v>1520000</v>
      </c>
      <c r="G125" t="s">
        <v>8</v>
      </c>
      <c r="H125" t="s">
        <v>1052</v>
      </c>
      <c r="I125" s="193" t="s">
        <v>772</v>
      </c>
      <c r="J125" s="193" t="s">
        <v>769</v>
      </c>
      <c r="K125" s="193" t="s">
        <v>686</v>
      </c>
    </row>
    <row r="126" spans="1:11" x14ac:dyDescent="0.3">
      <c r="A126" t="s">
        <v>281</v>
      </c>
      <c r="B126" t="s">
        <v>282</v>
      </c>
      <c r="C126">
        <v>76</v>
      </c>
      <c r="D126" t="s">
        <v>256</v>
      </c>
      <c r="E126">
        <f t="shared" si="1"/>
        <v>10000</v>
      </c>
      <c r="F126">
        <v>760000</v>
      </c>
      <c r="G126" t="s">
        <v>8</v>
      </c>
      <c r="H126" t="s">
        <v>1052</v>
      </c>
      <c r="I126" s="193" t="s">
        <v>772</v>
      </c>
      <c r="J126" s="193" t="s">
        <v>769</v>
      </c>
      <c r="K126" s="193" t="s">
        <v>686</v>
      </c>
    </row>
    <row r="127" spans="1:11" x14ac:dyDescent="0.3">
      <c r="A127" t="s">
        <v>283</v>
      </c>
      <c r="B127" t="s">
        <v>284</v>
      </c>
      <c r="C127">
        <v>1</v>
      </c>
      <c r="D127" t="s">
        <v>62</v>
      </c>
      <c r="E127">
        <f t="shared" si="1"/>
        <v>120000</v>
      </c>
      <c r="F127">
        <v>120000</v>
      </c>
      <c r="G127" t="s">
        <v>8</v>
      </c>
      <c r="H127" t="s">
        <v>1052</v>
      </c>
      <c r="I127" s="193" t="s">
        <v>772</v>
      </c>
      <c r="J127" s="193" t="s">
        <v>769</v>
      </c>
      <c r="K127" s="193" t="s">
        <v>686</v>
      </c>
    </row>
    <row r="128" spans="1:11" x14ac:dyDescent="0.3">
      <c r="A128" t="s">
        <v>285</v>
      </c>
      <c r="B128" t="s">
        <v>286</v>
      </c>
      <c r="C128">
        <v>43</v>
      </c>
      <c r="D128" t="s">
        <v>256</v>
      </c>
      <c r="E128">
        <f t="shared" si="1"/>
        <v>20000</v>
      </c>
      <c r="F128">
        <v>860000</v>
      </c>
      <c r="G128" t="s">
        <v>8</v>
      </c>
      <c r="H128" t="s">
        <v>1138</v>
      </c>
      <c r="I128" s="193" t="s">
        <v>772</v>
      </c>
      <c r="J128" s="193" t="s">
        <v>769</v>
      </c>
      <c r="K128" s="193" t="s">
        <v>686</v>
      </c>
    </row>
    <row r="129" spans="1:11" x14ac:dyDescent="0.3">
      <c r="A129" t="s">
        <v>287</v>
      </c>
      <c r="B129" t="s">
        <v>288</v>
      </c>
      <c r="C129">
        <v>43</v>
      </c>
      <c r="D129" t="s">
        <v>256</v>
      </c>
      <c r="E129">
        <f t="shared" si="1"/>
        <v>10000</v>
      </c>
      <c r="F129">
        <v>430000</v>
      </c>
      <c r="G129" t="s">
        <v>8</v>
      </c>
      <c r="H129" t="s">
        <v>1138</v>
      </c>
      <c r="I129" s="193" t="s">
        <v>772</v>
      </c>
      <c r="J129" s="193" t="s">
        <v>769</v>
      </c>
      <c r="K129" s="193" t="s">
        <v>686</v>
      </c>
    </row>
    <row r="130" spans="1:11" x14ac:dyDescent="0.3">
      <c r="A130" t="s">
        <v>289</v>
      </c>
      <c r="B130" t="s">
        <v>290</v>
      </c>
      <c r="C130">
        <v>1</v>
      </c>
      <c r="D130" t="s">
        <v>62</v>
      </c>
      <c r="E130">
        <f t="shared" si="1"/>
        <v>110000</v>
      </c>
      <c r="F130">
        <v>110000</v>
      </c>
      <c r="G130" t="s">
        <v>8</v>
      </c>
      <c r="H130" t="s">
        <v>1138</v>
      </c>
      <c r="I130" s="193" t="s">
        <v>772</v>
      </c>
      <c r="J130" s="193" t="s">
        <v>769</v>
      </c>
      <c r="K130" s="193" t="s">
        <v>686</v>
      </c>
    </row>
    <row r="131" spans="1:11" x14ac:dyDescent="0.3">
      <c r="A131" t="s">
        <v>291</v>
      </c>
      <c r="B131" t="s">
        <v>292</v>
      </c>
      <c r="C131">
        <v>76</v>
      </c>
      <c r="D131" t="s">
        <v>256</v>
      </c>
      <c r="E131">
        <f t="shared" ref="E131:E194" si="2">F131/C131</f>
        <v>20000</v>
      </c>
      <c r="F131">
        <v>1520000</v>
      </c>
      <c r="G131" t="s">
        <v>8</v>
      </c>
      <c r="H131" t="s">
        <v>1054</v>
      </c>
      <c r="I131" s="193" t="s">
        <v>772</v>
      </c>
      <c r="J131" s="193" t="s">
        <v>769</v>
      </c>
      <c r="K131" s="193" t="s">
        <v>686</v>
      </c>
    </row>
    <row r="132" spans="1:11" x14ac:dyDescent="0.3">
      <c r="A132" t="s">
        <v>293</v>
      </c>
      <c r="B132" t="s">
        <v>294</v>
      </c>
      <c r="C132">
        <v>76</v>
      </c>
      <c r="D132" t="s">
        <v>197</v>
      </c>
      <c r="E132">
        <f t="shared" si="2"/>
        <v>10000</v>
      </c>
      <c r="F132">
        <v>760000</v>
      </c>
      <c r="G132" t="s">
        <v>8</v>
      </c>
      <c r="H132" t="s">
        <v>1054</v>
      </c>
      <c r="I132" s="193" t="s">
        <v>772</v>
      </c>
      <c r="J132" s="193" t="s">
        <v>769</v>
      </c>
      <c r="K132" s="193" t="s">
        <v>686</v>
      </c>
    </row>
    <row r="133" spans="1:11" x14ac:dyDescent="0.3">
      <c r="A133" t="s">
        <v>295</v>
      </c>
      <c r="B133" t="s">
        <v>296</v>
      </c>
      <c r="C133">
        <v>1</v>
      </c>
      <c r="D133" t="s">
        <v>62</v>
      </c>
      <c r="E133">
        <f t="shared" si="2"/>
        <v>120000</v>
      </c>
      <c r="F133">
        <v>120000</v>
      </c>
      <c r="G133" t="s">
        <v>8</v>
      </c>
      <c r="H133" t="s">
        <v>1054</v>
      </c>
      <c r="I133" s="193" t="s">
        <v>772</v>
      </c>
      <c r="J133" s="193" t="s">
        <v>769</v>
      </c>
      <c r="K133" s="193" t="s">
        <v>686</v>
      </c>
    </row>
    <row r="134" spans="1:11" x14ac:dyDescent="0.3">
      <c r="A134" t="s">
        <v>297</v>
      </c>
      <c r="B134" t="s">
        <v>298</v>
      </c>
      <c r="C134">
        <v>76</v>
      </c>
      <c r="D134" t="s">
        <v>256</v>
      </c>
      <c r="E134">
        <f t="shared" si="2"/>
        <v>20000</v>
      </c>
      <c r="F134">
        <v>1520000</v>
      </c>
      <c r="G134" t="s">
        <v>69</v>
      </c>
      <c r="H134" t="s">
        <v>1055</v>
      </c>
      <c r="I134" s="193" t="s">
        <v>772</v>
      </c>
      <c r="J134" s="193" t="s">
        <v>769</v>
      </c>
      <c r="K134" s="193" t="s">
        <v>686</v>
      </c>
    </row>
    <row r="135" spans="1:11" x14ac:dyDescent="0.3">
      <c r="A135" t="s">
        <v>299</v>
      </c>
      <c r="B135" t="s">
        <v>300</v>
      </c>
      <c r="C135">
        <v>76</v>
      </c>
      <c r="D135" t="s">
        <v>256</v>
      </c>
      <c r="E135">
        <f t="shared" si="2"/>
        <v>10000</v>
      </c>
      <c r="F135">
        <v>760000</v>
      </c>
      <c r="G135" t="s">
        <v>69</v>
      </c>
      <c r="H135" t="s">
        <v>1055</v>
      </c>
      <c r="I135" s="193" t="s">
        <v>772</v>
      </c>
      <c r="J135" s="193" t="s">
        <v>769</v>
      </c>
      <c r="K135" s="193" t="s">
        <v>686</v>
      </c>
    </row>
    <row r="136" spans="1:11" x14ac:dyDescent="0.3">
      <c r="A136" t="s">
        <v>301</v>
      </c>
      <c r="B136" t="s">
        <v>302</v>
      </c>
      <c r="C136">
        <v>1</v>
      </c>
      <c r="D136" t="s">
        <v>7</v>
      </c>
      <c r="E136">
        <f t="shared" si="2"/>
        <v>120000</v>
      </c>
      <c r="F136">
        <v>120000</v>
      </c>
      <c r="G136" t="s">
        <v>69</v>
      </c>
      <c r="H136" t="s">
        <v>1055</v>
      </c>
      <c r="I136" s="193" t="s">
        <v>772</v>
      </c>
      <c r="J136" s="193" t="s">
        <v>769</v>
      </c>
      <c r="K136" s="193" t="s">
        <v>686</v>
      </c>
    </row>
    <row r="137" spans="1:11" x14ac:dyDescent="0.3">
      <c r="A137" t="s">
        <v>303</v>
      </c>
      <c r="B137" t="s">
        <v>304</v>
      </c>
      <c r="C137">
        <v>1</v>
      </c>
      <c r="D137" t="s">
        <v>7</v>
      </c>
      <c r="E137">
        <f t="shared" si="2"/>
        <v>5100000</v>
      </c>
      <c r="F137">
        <v>5100000</v>
      </c>
      <c r="G137" t="s">
        <v>69</v>
      </c>
      <c r="H137" t="s">
        <v>1057</v>
      </c>
      <c r="I137" s="193" t="s">
        <v>775</v>
      </c>
      <c r="J137" s="193" t="s">
        <v>769</v>
      </c>
      <c r="K137" s="193" t="s">
        <v>686</v>
      </c>
    </row>
    <row r="138" spans="1:11" x14ac:dyDescent="0.3">
      <c r="A138" t="s">
        <v>305</v>
      </c>
      <c r="B138" t="s">
        <v>306</v>
      </c>
      <c r="C138">
        <v>1</v>
      </c>
      <c r="D138" t="s">
        <v>7</v>
      </c>
      <c r="E138">
        <f t="shared" si="2"/>
        <v>1950000</v>
      </c>
      <c r="F138">
        <v>1950000</v>
      </c>
      <c r="G138" t="s">
        <v>77</v>
      </c>
      <c r="H138" t="s">
        <v>1058</v>
      </c>
      <c r="I138" s="193" t="s">
        <v>776</v>
      </c>
      <c r="J138" s="193" t="s">
        <v>769</v>
      </c>
      <c r="K138" s="193" t="s">
        <v>686</v>
      </c>
    </row>
    <row r="139" spans="1:11" x14ac:dyDescent="0.3">
      <c r="A139" t="s">
        <v>307</v>
      </c>
      <c r="B139" t="s">
        <v>308</v>
      </c>
      <c r="C139">
        <v>11</v>
      </c>
      <c r="D139" t="s">
        <v>16</v>
      </c>
      <c r="E139">
        <f t="shared" si="2"/>
        <v>300000</v>
      </c>
      <c r="F139">
        <v>3300000</v>
      </c>
      <c r="G139" t="s">
        <v>8</v>
      </c>
      <c r="H139" t="s">
        <v>1059</v>
      </c>
      <c r="I139" s="193" t="s">
        <v>786</v>
      </c>
      <c r="J139" s="193" t="s">
        <v>769</v>
      </c>
      <c r="K139" s="193" t="s">
        <v>686</v>
      </c>
    </row>
    <row r="140" spans="1:11" x14ac:dyDescent="0.3">
      <c r="A140" t="s">
        <v>309</v>
      </c>
      <c r="B140" t="s">
        <v>310</v>
      </c>
      <c r="C140">
        <v>11</v>
      </c>
      <c r="D140" t="s">
        <v>16</v>
      </c>
      <c r="E140">
        <f t="shared" si="2"/>
        <v>250000</v>
      </c>
      <c r="F140">
        <v>2750000</v>
      </c>
      <c r="G140" t="s">
        <v>8</v>
      </c>
      <c r="H140" t="s">
        <v>1059</v>
      </c>
      <c r="I140" s="193" t="s">
        <v>786</v>
      </c>
      <c r="J140" s="193" t="s">
        <v>769</v>
      </c>
      <c r="K140" s="193" t="s">
        <v>686</v>
      </c>
    </row>
    <row r="141" spans="1:11" x14ac:dyDescent="0.3">
      <c r="A141" t="s">
        <v>311</v>
      </c>
      <c r="B141" t="s">
        <v>312</v>
      </c>
      <c r="C141">
        <v>11</v>
      </c>
      <c r="D141" t="s">
        <v>16</v>
      </c>
      <c r="E141">
        <f t="shared" si="2"/>
        <v>225000</v>
      </c>
      <c r="F141">
        <v>2475000</v>
      </c>
      <c r="G141" t="s">
        <v>8</v>
      </c>
      <c r="H141" t="s">
        <v>1059</v>
      </c>
      <c r="I141" s="193" t="s">
        <v>786</v>
      </c>
      <c r="J141" s="193" t="s">
        <v>769</v>
      </c>
      <c r="K141" s="193" t="s">
        <v>686</v>
      </c>
    </row>
    <row r="142" spans="1:11" x14ac:dyDescent="0.3">
      <c r="A142" t="s">
        <v>313</v>
      </c>
      <c r="B142" t="s">
        <v>314</v>
      </c>
      <c r="C142">
        <v>10</v>
      </c>
      <c r="D142" t="s">
        <v>16</v>
      </c>
      <c r="E142">
        <f t="shared" si="2"/>
        <v>200000</v>
      </c>
      <c r="F142">
        <v>2000000</v>
      </c>
      <c r="G142" t="s">
        <v>8</v>
      </c>
      <c r="H142" t="s">
        <v>1059</v>
      </c>
      <c r="I142" s="193" t="s">
        <v>786</v>
      </c>
      <c r="J142" s="193" t="s">
        <v>769</v>
      </c>
      <c r="K142" s="193" t="s">
        <v>686</v>
      </c>
    </row>
    <row r="143" spans="1:11" x14ac:dyDescent="0.3">
      <c r="A143" t="s">
        <v>315</v>
      </c>
      <c r="B143" t="s">
        <v>316</v>
      </c>
      <c r="C143">
        <v>11</v>
      </c>
      <c r="D143" t="s">
        <v>16</v>
      </c>
      <c r="E143">
        <f t="shared" si="2"/>
        <v>200000</v>
      </c>
      <c r="F143">
        <v>2200000</v>
      </c>
      <c r="G143" t="s">
        <v>8</v>
      </c>
      <c r="H143" t="s">
        <v>1059</v>
      </c>
      <c r="I143" s="193" t="s">
        <v>786</v>
      </c>
      <c r="J143" s="193" t="s">
        <v>769</v>
      </c>
      <c r="K143" s="193" t="s">
        <v>686</v>
      </c>
    </row>
    <row r="144" spans="1:11" x14ac:dyDescent="0.3">
      <c r="A144" t="s">
        <v>317</v>
      </c>
      <c r="B144" t="s">
        <v>318</v>
      </c>
      <c r="C144">
        <v>10</v>
      </c>
      <c r="D144" t="s">
        <v>16</v>
      </c>
      <c r="E144">
        <f t="shared" si="2"/>
        <v>200000</v>
      </c>
      <c r="F144">
        <v>2000000</v>
      </c>
      <c r="G144" t="s">
        <v>8</v>
      </c>
      <c r="H144" t="s">
        <v>1059</v>
      </c>
      <c r="I144" s="193" t="s">
        <v>786</v>
      </c>
      <c r="J144" s="193" t="s">
        <v>769</v>
      </c>
      <c r="K144" s="193" t="s">
        <v>686</v>
      </c>
    </row>
    <row r="145" spans="1:11" x14ac:dyDescent="0.3">
      <c r="A145" t="s">
        <v>319</v>
      </c>
      <c r="B145" t="s">
        <v>320</v>
      </c>
      <c r="C145">
        <v>11</v>
      </c>
      <c r="D145" t="s">
        <v>16</v>
      </c>
      <c r="E145">
        <f t="shared" si="2"/>
        <v>200000</v>
      </c>
      <c r="F145">
        <v>2200000</v>
      </c>
      <c r="G145" t="s">
        <v>8</v>
      </c>
      <c r="H145" t="s">
        <v>1059</v>
      </c>
      <c r="I145" s="193" t="s">
        <v>786</v>
      </c>
      <c r="J145" s="193" t="s">
        <v>769</v>
      </c>
      <c r="K145" s="193" t="s">
        <v>686</v>
      </c>
    </row>
    <row r="146" spans="1:11" x14ac:dyDescent="0.3">
      <c r="A146" t="s">
        <v>321</v>
      </c>
      <c r="B146" t="s">
        <v>322</v>
      </c>
      <c r="C146">
        <v>11</v>
      </c>
      <c r="D146" t="s">
        <v>16</v>
      </c>
      <c r="E146">
        <f t="shared" si="2"/>
        <v>200000</v>
      </c>
      <c r="F146">
        <v>2200000</v>
      </c>
      <c r="G146" t="s">
        <v>8</v>
      </c>
      <c r="H146" t="s">
        <v>1059</v>
      </c>
      <c r="I146" s="193" t="s">
        <v>786</v>
      </c>
      <c r="J146" s="193" t="s">
        <v>769</v>
      </c>
      <c r="K146" s="193" t="s">
        <v>686</v>
      </c>
    </row>
    <row r="147" spans="1:11" x14ac:dyDescent="0.3">
      <c r="A147" t="s">
        <v>323</v>
      </c>
      <c r="B147" t="s">
        <v>324</v>
      </c>
      <c r="C147">
        <v>1</v>
      </c>
      <c r="D147" t="s">
        <v>16</v>
      </c>
      <c r="E147">
        <f t="shared" si="2"/>
        <v>300000</v>
      </c>
      <c r="F147">
        <v>300000</v>
      </c>
      <c r="G147" t="s">
        <v>69</v>
      </c>
      <c r="H147" t="s">
        <v>1061</v>
      </c>
      <c r="I147" s="193" t="s">
        <v>786</v>
      </c>
      <c r="J147" s="193" t="s">
        <v>769</v>
      </c>
      <c r="K147" s="193" t="s">
        <v>686</v>
      </c>
    </row>
    <row r="148" spans="1:11" x14ac:dyDescent="0.3">
      <c r="A148" t="s">
        <v>325</v>
      </c>
      <c r="B148" t="s">
        <v>326</v>
      </c>
      <c r="C148">
        <v>1</v>
      </c>
      <c r="D148" t="s">
        <v>16</v>
      </c>
      <c r="E148">
        <f t="shared" si="2"/>
        <v>250000</v>
      </c>
      <c r="F148">
        <v>250000</v>
      </c>
      <c r="G148" t="s">
        <v>69</v>
      </c>
      <c r="H148" t="s">
        <v>1061</v>
      </c>
      <c r="I148" s="193" t="s">
        <v>786</v>
      </c>
      <c r="J148" s="193" t="s">
        <v>769</v>
      </c>
      <c r="K148" s="193" t="s">
        <v>686</v>
      </c>
    </row>
    <row r="149" spans="1:11" x14ac:dyDescent="0.3">
      <c r="A149" t="s">
        <v>327</v>
      </c>
      <c r="B149" t="s">
        <v>328</v>
      </c>
      <c r="C149">
        <v>1</v>
      </c>
      <c r="D149" t="s">
        <v>16</v>
      </c>
      <c r="E149">
        <f t="shared" si="2"/>
        <v>225000</v>
      </c>
      <c r="F149">
        <v>225000</v>
      </c>
      <c r="G149" t="s">
        <v>69</v>
      </c>
      <c r="H149" t="s">
        <v>1061</v>
      </c>
      <c r="I149" s="193" t="s">
        <v>786</v>
      </c>
      <c r="J149" s="193" t="s">
        <v>769</v>
      </c>
      <c r="K149" s="193" t="s">
        <v>686</v>
      </c>
    </row>
    <row r="150" spans="1:11" x14ac:dyDescent="0.3">
      <c r="A150" t="s">
        <v>329</v>
      </c>
      <c r="B150" t="s">
        <v>330</v>
      </c>
      <c r="C150">
        <v>1</v>
      </c>
      <c r="D150" t="s">
        <v>16</v>
      </c>
      <c r="E150">
        <f t="shared" si="2"/>
        <v>200000</v>
      </c>
      <c r="F150">
        <v>200000</v>
      </c>
      <c r="G150" t="s">
        <v>69</v>
      </c>
      <c r="H150" t="s">
        <v>1061</v>
      </c>
      <c r="I150" s="193" t="s">
        <v>786</v>
      </c>
      <c r="J150" s="193" t="s">
        <v>769</v>
      </c>
      <c r="K150" s="193" t="s">
        <v>686</v>
      </c>
    </row>
    <row r="151" spans="1:11" x14ac:dyDescent="0.3">
      <c r="A151" t="s">
        <v>331</v>
      </c>
      <c r="B151" t="s">
        <v>332</v>
      </c>
      <c r="C151">
        <v>1</v>
      </c>
      <c r="D151" t="s">
        <v>16</v>
      </c>
      <c r="E151">
        <f t="shared" si="2"/>
        <v>200000</v>
      </c>
      <c r="F151">
        <v>200000</v>
      </c>
      <c r="G151" t="s">
        <v>69</v>
      </c>
      <c r="H151" t="s">
        <v>1061</v>
      </c>
      <c r="I151" s="193" t="s">
        <v>786</v>
      </c>
      <c r="J151" s="193" t="s">
        <v>769</v>
      </c>
      <c r="K151" s="193" t="s">
        <v>686</v>
      </c>
    </row>
    <row r="152" spans="1:11" x14ac:dyDescent="0.3">
      <c r="A152" t="s">
        <v>333</v>
      </c>
      <c r="B152" t="s">
        <v>334</v>
      </c>
      <c r="C152">
        <v>1</v>
      </c>
      <c r="D152" t="s">
        <v>16</v>
      </c>
      <c r="E152">
        <f t="shared" si="2"/>
        <v>200000</v>
      </c>
      <c r="F152">
        <v>200000</v>
      </c>
      <c r="G152" t="s">
        <v>69</v>
      </c>
      <c r="H152" t="s">
        <v>1061</v>
      </c>
      <c r="I152" s="193" t="s">
        <v>786</v>
      </c>
      <c r="J152" s="193" t="s">
        <v>769</v>
      </c>
      <c r="K152" s="193" t="s">
        <v>686</v>
      </c>
    </row>
    <row r="153" spans="1:11" x14ac:dyDescent="0.3">
      <c r="A153" t="s">
        <v>335</v>
      </c>
      <c r="B153" t="s">
        <v>336</v>
      </c>
      <c r="C153">
        <v>12</v>
      </c>
      <c r="D153" t="s">
        <v>16</v>
      </c>
      <c r="E153">
        <f t="shared" si="2"/>
        <v>200000</v>
      </c>
      <c r="F153">
        <v>2400000</v>
      </c>
      <c r="G153" t="s">
        <v>69</v>
      </c>
      <c r="H153" t="s">
        <v>1062</v>
      </c>
      <c r="I153" s="193" t="s">
        <v>786</v>
      </c>
      <c r="J153" s="193" t="s">
        <v>769</v>
      </c>
      <c r="K153" s="193" t="s">
        <v>686</v>
      </c>
    </row>
    <row r="154" spans="1:11" x14ac:dyDescent="0.3">
      <c r="A154" t="s">
        <v>337</v>
      </c>
      <c r="B154" t="s">
        <v>338</v>
      </c>
      <c r="C154">
        <v>12</v>
      </c>
      <c r="D154" t="s">
        <v>16</v>
      </c>
      <c r="E154">
        <f t="shared" si="2"/>
        <v>150000</v>
      </c>
      <c r="F154">
        <v>1800000</v>
      </c>
      <c r="G154" t="s">
        <v>69</v>
      </c>
      <c r="H154" t="s">
        <v>1062</v>
      </c>
      <c r="I154" s="193" t="s">
        <v>786</v>
      </c>
      <c r="J154" s="193" t="s">
        <v>769</v>
      </c>
      <c r="K154" s="193" t="s">
        <v>686</v>
      </c>
    </row>
    <row r="155" spans="1:11" x14ac:dyDescent="0.3">
      <c r="A155" t="s">
        <v>339</v>
      </c>
      <c r="B155" t="s">
        <v>340</v>
      </c>
      <c r="C155">
        <v>1</v>
      </c>
      <c r="D155" t="s">
        <v>157</v>
      </c>
      <c r="E155">
        <f t="shared" si="2"/>
        <v>200000</v>
      </c>
      <c r="F155">
        <v>200000</v>
      </c>
      <c r="G155" t="s">
        <v>69</v>
      </c>
      <c r="H155" t="s">
        <v>1062</v>
      </c>
      <c r="I155" s="193" t="s">
        <v>786</v>
      </c>
      <c r="J155" s="193" t="s">
        <v>769</v>
      </c>
      <c r="K155" s="193" t="s">
        <v>686</v>
      </c>
    </row>
    <row r="156" spans="1:11" x14ac:dyDescent="0.3">
      <c r="A156" t="s">
        <v>341</v>
      </c>
      <c r="B156" t="s">
        <v>342</v>
      </c>
      <c r="C156">
        <v>1</v>
      </c>
      <c r="D156" t="s">
        <v>343</v>
      </c>
      <c r="E156">
        <f t="shared" si="2"/>
        <v>200000</v>
      </c>
      <c r="F156">
        <v>200000</v>
      </c>
      <c r="G156" t="s">
        <v>69</v>
      </c>
      <c r="H156" t="s">
        <v>1062</v>
      </c>
      <c r="I156" s="193" t="s">
        <v>786</v>
      </c>
      <c r="J156" s="193" t="s">
        <v>769</v>
      </c>
      <c r="K156" s="193" t="s">
        <v>686</v>
      </c>
    </row>
    <row r="157" spans="1:11" x14ac:dyDescent="0.3">
      <c r="A157" t="s">
        <v>344</v>
      </c>
      <c r="B157" t="s">
        <v>345</v>
      </c>
      <c r="C157">
        <v>1</v>
      </c>
      <c r="D157" t="s">
        <v>157</v>
      </c>
      <c r="E157">
        <f t="shared" si="2"/>
        <v>200000</v>
      </c>
      <c r="F157">
        <v>200000</v>
      </c>
      <c r="G157" t="s">
        <v>69</v>
      </c>
      <c r="H157" t="s">
        <v>1062</v>
      </c>
      <c r="I157" s="193" t="s">
        <v>786</v>
      </c>
      <c r="J157" s="193" t="s">
        <v>769</v>
      </c>
      <c r="K157" s="193" t="s">
        <v>686</v>
      </c>
    </row>
    <row r="158" spans="1:11" x14ac:dyDescent="0.3">
      <c r="A158" t="s">
        <v>346</v>
      </c>
      <c r="B158" t="s">
        <v>347</v>
      </c>
      <c r="C158">
        <v>1</v>
      </c>
      <c r="D158" t="s">
        <v>157</v>
      </c>
      <c r="E158">
        <f t="shared" si="2"/>
        <v>200000</v>
      </c>
      <c r="F158">
        <v>200000</v>
      </c>
      <c r="G158" t="s">
        <v>69</v>
      </c>
      <c r="H158" t="s">
        <v>1062</v>
      </c>
      <c r="I158" s="193" t="s">
        <v>786</v>
      </c>
      <c r="J158" s="193" t="s">
        <v>769</v>
      </c>
      <c r="K158" s="193" t="s">
        <v>686</v>
      </c>
    </row>
    <row r="159" spans="1:11" x14ac:dyDescent="0.3">
      <c r="A159" t="s">
        <v>348</v>
      </c>
      <c r="B159" t="s">
        <v>349</v>
      </c>
      <c r="C159">
        <v>1</v>
      </c>
      <c r="D159" t="s">
        <v>343</v>
      </c>
      <c r="E159">
        <f t="shared" si="2"/>
        <v>200000</v>
      </c>
      <c r="F159">
        <v>200000</v>
      </c>
      <c r="G159" t="s">
        <v>69</v>
      </c>
      <c r="H159" t="s">
        <v>1062</v>
      </c>
      <c r="I159" s="193" t="s">
        <v>786</v>
      </c>
      <c r="J159" s="193" t="s">
        <v>769</v>
      </c>
      <c r="K159" s="193" t="s">
        <v>686</v>
      </c>
    </row>
    <row r="160" spans="1:11" x14ac:dyDescent="0.3">
      <c r="A160" t="s">
        <v>350</v>
      </c>
      <c r="B160" t="s">
        <v>351</v>
      </c>
      <c r="C160">
        <v>1</v>
      </c>
      <c r="D160" t="s">
        <v>343</v>
      </c>
      <c r="E160">
        <f t="shared" si="2"/>
        <v>200000</v>
      </c>
      <c r="F160">
        <v>200000</v>
      </c>
      <c r="G160" t="s">
        <v>69</v>
      </c>
      <c r="H160" t="s">
        <v>1062</v>
      </c>
      <c r="I160" s="193" t="s">
        <v>786</v>
      </c>
      <c r="J160" s="193" t="s">
        <v>769</v>
      </c>
      <c r="K160" s="193" t="s">
        <v>686</v>
      </c>
    </row>
    <row r="161" spans="1:11" x14ac:dyDescent="0.3">
      <c r="A161" t="s">
        <v>352</v>
      </c>
      <c r="B161" t="s">
        <v>353</v>
      </c>
      <c r="C161">
        <v>1</v>
      </c>
      <c r="D161" t="s">
        <v>157</v>
      </c>
      <c r="E161">
        <f t="shared" si="2"/>
        <v>200000</v>
      </c>
      <c r="F161">
        <v>200000</v>
      </c>
      <c r="G161" t="s">
        <v>69</v>
      </c>
      <c r="H161" t="s">
        <v>1062</v>
      </c>
      <c r="I161" s="193" t="s">
        <v>786</v>
      </c>
      <c r="J161" s="193" t="s">
        <v>769</v>
      </c>
      <c r="K161" s="193" t="s">
        <v>686</v>
      </c>
    </row>
    <row r="162" spans="1:11" x14ac:dyDescent="0.3">
      <c r="A162" t="s">
        <v>354</v>
      </c>
      <c r="B162" t="s">
        <v>355</v>
      </c>
      <c r="C162">
        <v>1</v>
      </c>
      <c r="D162" t="s">
        <v>343</v>
      </c>
      <c r="E162">
        <f t="shared" si="2"/>
        <v>200000</v>
      </c>
      <c r="F162">
        <v>200000</v>
      </c>
      <c r="G162" t="s">
        <v>69</v>
      </c>
      <c r="H162" t="s">
        <v>1062</v>
      </c>
      <c r="I162" s="193" t="s">
        <v>786</v>
      </c>
      <c r="J162" s="193" t="s">
        <v>769</v>
      </c>
      <c r="K162" s="193" t="s">
        <v>686</v>
      </c>
    </row>
    <row r="163" spans="1:11" x14ac:dyDescent="0.3">
      <c r="A163" t="s">
        <v>356</v>
      </c>
      <c r="B163" t="s">
        <v>357</v>
      </c>
      <c r="C163">
        <v>1</v>
      </c>
      <c r="D163" t="s">
        <v>157</v>
      </c>
      <c r="E163">
        <f t="shared" si="2"/>
        <v>200000</v>
      </c>
      <c r="F163">
        <v>200000</v>
      </c>
      <c r="G163" t="s">
        <v>69</v>
      </c>
      <c r="H163" t="s">
        <v>1062</v>
      </c>
      <c r="I163" s="193" t="s">
        <v>786</v>
      </c>
      <c r="J163" s="193" t="s">
        <v>769</v>
      </c>
      <c r="K163" s="193" t="s">
        <v>686</v>
      </c>
    </row>
    <row r="164" spans="1:11" x14ac:dyDescent="0.3">
      <c r="A164" t="s">
        <v>358</v>
      </c>
      <c r="B164" t="s">
        <v>359</v>
      </c>
      <c r="C164">
        <v>11</v>
      </c>
      <c r="D164" t="s">
        <v>16</v>
      </c>
      <c r="E164">
        <f t="shared" si="2"/>
        <v>500000</v>
      </c>
      <c r="F164">
        <v>5500000</v>
      </c>
      <c r="G164" t="s">
        <v>178</v>
      </c>
      <c r="H164" t="s">
        <v>1066</v>
      </c>
      <c r="I164" s="193" t="s">
        <v>800</v>
      </c>
      <c r="J164" s="193" t="s">
        <v>798</v>
      </c>
      <c r="K164" s="193" t="s">
        <v>687</v>
      </c>
    </row>
    <row r="165" spans="1:11" x14ac:dyDescent="0.3">
      <c r="A165" t="s">
        <v>360</v>
      </c>
      <c r="B165" t="s">
        <v>361</v>
      </c>
      <c r="C165">
        <v>1</v>
      </c>
      <c r="D165" t="s">
        <v>7</v>
      </c>
      <c r="E165">
        <f t="shared" si="2"/>
        <v>105000</v>
      </c>
      <c r="F165">
        <v>105000</v>
      </c>
      <c r="G165" t="s">
        <v>69</v>
      </c>
      <c r="H165" t="s">
        <v>1063</v>
      </c>
      <c r="I165" s="193" t="s">
        <v>800</v>
      </c>
      <c r="J165" s="193" t="s">
        <v>798</v>
      </c>
      <c r="K165" s="193" t="s">
        <v>687</v>
      </c>
    </row>
    <row r="166" spans="1:11" x14ac:dyDescent="0.3">
      <c r="A166" t="s">
        <v>362</v>
      </c>
      <c r="B166" t="s">
        <v>363</v>
      </c>
      <c r="C166">
        <v>11</v>
      </c>
      <c r="D166" t="s">
        <v>364</v>
      </c>
      <c r="E166">
        <f t="shared" si="2"/>
        <v>750000</v>
      </c>
      <c r="F166">
        <v>8250000</v>
      </c>
      <c r="G166" t="s">
        <v>178</v>
      </c>
      <c r="H166" t="s">
        <v>1065</v>
      </c>
      <c r="I166" s="193" t="s">
        <v>800</v>
      </c>
      <c r="J166" s="193" t="s">
        <v>798</v>
      </c>
      <c r="K166" s="193" t="s">
        <v>687</v>
      </c>
    </row>
    <row r="167" spans="1:11" x14ac:dyDescent="0.3">
      <c r="A167" t="s">
        <v>365</v>
      </c>
      <c r="B167" t="s">
        <v>366</v>
      </c>
      <c r="C167">
        <v>11</v>
      </c>
      <c r="D167" t="s">
        <v>16</v>
      </c>
      <c r="E167">
        <f t="shared" si="2"/>
        <v>1500000</v>
      </c>
      <c r="F167">
        <v>16500000</v>
      </c>
      <c r="G167" t="s">
        <v>178</v>
      </c>
      <c r="H167" t="s">
        <v>1064</v>
      </c>
      <c r="I167" s="193" t="s">
        <v>800</v>
      </c>
      <c r="J167" s="193" t="s">
        <v>798</v>
      </c>
      <c r="K167" s="193" t="s">
        <v>687</v>
      </c>
    </row>
    <row r="168" spans="1:11" x14ac:dyDescent="0.3">
      <c r="A168" t="s">
        <v>367</v>
      </c>
      <c r="B168" t="s">
        <v>368</v>
      </c>
      <c r="C168">
        <v>2</v>
      </c>
      <c r="D168" t="s">
        <v>157</v>
      </c>
      <c r="E168">
        <f t="shared" si="2"/>
        <v>250000</v>
      </c>
      <c r="F168">
        <v>500000</v>
      </c>
      <c r="G168" t="s">
        <v>178</v>
      </c>
      <c r="H168" t="s">
        <v>1066</v>
      </c>
      <c r="I168" s="193" t="s">
        <v>800</v>
      </c>
      <c r="J168" s="193" t="s">
        <v>798</v>
      </c>
      <c r="K168" s="193" t="s">
        <v>687</v>
      </c>
    </row>
    <row r="169" spans="1:11" x14ac:dyDescent="0.3">
      <c r="A169" t="s">
        <v>369</v>
      </c>
      <c r="B169" t="s">
        <v>370</v>
      </c>
      <c r="C169">
        <v>3</v>
      </c>
      <c r="D169" t="s">
        <v>157</v>
      </c>
      <c r="E169">
        <f t="shared" si="2"/>
        <v>250000</v>
      </c>
      <c r="F169">
        <v>750000</v>
      </c>
      <c r="G169" t="s">
        <v>178</v>
      </c>
      <c r="H169" t="s">
        <v>1067</v>
      </c>
      <c r="I169" s="193" t="s">
        <v>800</v>
      </c>
      <c r="J169" s="193" t="s">
        <v>798</v>
      </c>
      <c r="K169" s="193" t="s">
        <v>687</v>
      </c>
    </row>
    <row r="170" spans="1:11" x14ac:dyDescent="0.3">
      <c r="A170" t="s">
        <v>371</v>
      </c>
      <c r="B170" t="s">
        <v>372</v>
      </c>
      <c r="C170">
        <v>6</v>
      </c>
      <c r="D170" t="s">
        <v>157</v>
      </c>
      <c r="E170">
        <f t="shared" si="2"/>
        <v>250000</v>
      </c>
      <c r="F170">
        <v>1500000</v>
      </c>
      <c r="G170" t="s">
        <v>178</v>
      </c>
      <c r="H170" t="s">
        <v>1068</v>
      </c>
      <c r="I170" s="193" t="s">
        <v>800</v>
      </c>
      <c r="J170" s="193" t="s">
        <v>798</v>
      </c>
      <c r="K170" s="193" t="s">
        <v>687</v>
      </c>
    </row>
    <row r="171" spans="1:11" x14ac:dyDescent="0.3">
      <c r="A171" t="s">
        <v>373</v>
      </c>
      <c r="B171" t="s">
        <v>374</v>
      </c>
      <c r="C171">
        <v>92</v>
      </c>
      <c r="D171" t="s">
        <v>375</v>
      </c>
      <c r="E171">
        <f t="shared" si="2"/>
        <v>12500</v>
      </c>
      <c r="F171">
        <v>1150000</v>
      </c>
      <c r="G171" t="s">
        <v>178</v>
      </c>
      <c r="H171" t="s">
        <v>1069</v>
      </c>
      <c r="I171" s="193" t="s">
        <v>814</v>
      </c>
      <c r="J171" s="193" t="s">
        <v>811</v>
      </c>
      <c r="K171" s="193" t="s">
        <v>687</v>
      </c>
    </row>
    <row r="172" spans="1:11" x14ac:dyDescent="0.3">
      <c r="A172" t="s">
        <v>376</v>
      </c>
      <c r="B172" t="s">
        <v>377</v>
      </c>
      <c r="C172">
        <v>63</v>
      </c>
      <c r="D172" t="s">
        <v>375</v>
      </c>
      <c r="E172">
        <f t="shared" si="2"/>
        <v>12500</v>
      </c>
      <c r="F172">
        <v>787500</v>
      </c>
      <c r="G172" t="s">
        <v>178</v>
      </c>
      <c r="H172" t="s">
        <v>1069</v>
      </c>
      <c r="I172" s="193" t="s">
        <v>814</v>
      </c>
      <c r="J172" s="193" t="s">
        <v>811</v>
      </c>
      <c r="K172" s="193" t="s">
        <v>687</v>
      </c>
    </row>
    <row r="173" spans="1:11" x14ac:dyDescent="0.3">
      <c r="A173" t="s">
        <v>378</v>
      </c>
      <c r="B173" t="s">
        <v>379</v>
      </c>
      <c r="C173">
        <v>95</v>
      </c>
      <c r="D173" t="s">
        <v>375</v>
      </c>
      <c r="E173">
        <f t="shared" si="2"/>
        <v>12500</v>
      </c>
      <c r="F173">
        <v>1187500</v>
      </c>
      <c r="G173" t="s">
        <v>178</v>
      </c>
      <c r="H173" t="s">
        <v>1069</v>
      </c>
      <c r="I173" s="193" t="s">
        <v>814</v>
      </c>
      <c r="J173" s="193" t="s">
        <v>811</v>
      </c>
      <c r="K173" s="193" t="s">
        <v>687</v>
      </c>
    </row>
    <row r="174" spans="1:11" x14ac:dyDescent="0.3">
      <c r="A174" t="s">
        <v>380</v>
      </c>
      <c r="B174" t="s">
        <v>381</v>
      </c>
      <c r="C174">
        <v>1</v>
      </c>
      <c r="D174" t="s">
        <v>7</v>
      </c>
      <c r="E174">
        <f t="shared" si="2"/>
        <v>1000000</v>
      </c>
      <c r="F174">
        <v>1000000</v>
      </c>
      <c r="G174" t="s">
        <v>77</v>
      </c>
      <c r="H174" t="s">
        <v>1070</v>
      </c>
      <c r="I174" s="193" t="s">
        <v>814</v>
      </c>
      <c r="J174" s="193" t="s">
        <v>811</v>
      </c>
      <c r="K174" s="193" t="s">
        <v>687</v>
      </c>
    </row>
    <row r="175" spans="1:11" x14ac:dyDescent="0.3">
      <c r="A175" t="s">
        <v>382</v>
      </c>
      <c r="B175" t="s">
        <v>383</v>
      </c>
      <c r="C175">
        <v>11</v>
      </c>
      <c r="D175" t="s">
        <v>384</v>
      </c>
      <c r="E175">
        <f t="shared" si="2"/>
        <v>100000</v>
      </c>
      <c r="F175">
        <v>1100000</v>
      </c>
      <c r="G175" t="s">
        <v>178</v>
      </c>
      <c r="H175" t="s">
        <v>1071</v>
      </c>
      <c r="I175" s="193" t="s">
        <v>814</v>
      </c>
      <c r="J175" s="193" t="s">
        <v>811</v>
      </c>
      <c r="K175" s="193" t="s">
        <v>687</v>
      </c>
    </row>
    <row r="176" spans="1:11" x14ac:dyDescent="0.3">
      <c r="A176" t="s">
        <v>385</v>
      </c>
      <c r="B176" t="s">
        <v>386</v>
      </c>
      <c r="C176">
        <v>6</v>
      </c>
      <c r="D176" t="s">
        <v>387</v>
      </c>
      <c r="E176">
        <f t="shared" si="2"/>
        <v>100000</v>
      </c>
      <c r="F176">
        <v>600000</v>
      </c>
      <c r="G176" t="s">
        <v>178</v>
      </c>
      <c r="H176" t="s">
        <v>1071</v>
      </c>
      <c r="I176" s="193" t="s">
        <v>814</v>
      </c>
      <c r="J176" s="193" t="s">
        <v>811</v>
      </c>
      <c r="K176" s="193" t="s">
        <v>687</v>
      </c>
    </row>
    <row r="177" spans="1:11" x14ac:dyDescent="0.3">
      <c r="A177" t="s">
        <v>388</v>
      </c>
      <c r="B177" t="s">
        <v>1139</v>
      </c>
      <c r="C177">
        <v>9</v>
      </c>
      <c r="D177" t="s">
        <v>16</v>
      </c>
      <c r="E177">
        <f t="shared" si="2"/>
        <v>412500</v>
      </c>
      <c r="F177">
        <v>3712500</v>
      </c>
      <c r="G177" t="s">
        <v>178</v>
      </c>
      <c r="H177" t="s">
        <v>1072</v>
      </c>
      <c r="I177" s="193" t="s">
        <v>814</v>
      </c>
      <c r="J177" s="193" t="s">
        <v>811</v>
      </c>
      <c r="K177" s="193" t="s">
        <v>687</v>
      </c>
    </row>
    <row r="178" spans="1:11" x14ac:dyDescent="0.3">
      <c r="A178" t="s">
        <v>389</v>
      </c>
      <c r="B178" t="s">
        <v>1140</v>
      </c>
      <c r="C178">
        <v>9</v>
      </c>
      <c r="D178" t="s">
        <v>16</v>
      </c>
      <c r="E178">
        <f t="shared" si="2"/>
        <v>312500</v>
      </c>
      <c r="F178">
        <v>2812500</v>
      </c>
      <c r="G178" t="s">
        <v>178</v>
      </c>
      <c r="H178" t="s">
        <v>1072</v>
      </c>
      <c r="I178" s="193" t="s">
        <v>814</v>
      </c>
      <c r="J178" s="193" t="s">
        <v>811</v>
      </c>
      <c r="K178" s="193" t="s">
        <v>687</v>
      </c>
    </row>
    <row r="179" spans="1:11" x14ac:dyDescent="0.3">
      <c r="A179" t="s">
        <v>390</v>
      </c>
      <c r="B179" t="s">
        <v>1141</v>
      </c>
      <c r="C179">
        <v>9</v>
      </c>
      <c r="D179" t="s">
        <v>16</v>
      </c>
      <c r="E179">
        <f t="shared" si="2"/>
        <v>412500</v>
      </c>
      <c r="F179">
        <v>3712500</v>
      </c>
      <c r="G179" t="s">
        <v>178</v>
      </c>
      <c r="H179" t="s">
        <v>1072</v>
      </c>
      <c r="I179" s="193" t="s">
        <v>814</v>
      </c>
      <c r="J179" s="193" t="s">
        <v>811</v>
      </c>
      <c r="K179" s="193" t="s">
        <v>687</v>
      </c>
    </row>
    <row r="180" spans="1:11" x14ac:dyDescent="0.3">
      <c r="A180" t="s">
        <v>391</v>
      </c>
      <c r="B180" t="s">
        <v>392</v>
      </c>
      <c r="C180">
        <v>1</v>
      </c>
      <c r="D180" t="s">
        <v>7</v>
      </c>
      <c r="E180">
        <f t="shared" si="2"/>
        <v>8500000</v>
      </c>
      <c r="F180">
        <v>8500000</v>
      </c>
      <c r="G180" t="s">
        <v>178</v>
      </c>
      <c r="H180" t="s">
        <v>1073</v>
      </c>
      <c r="I180" s="193" t="s">
        <v>814</v>
      </c>
      <c r="J180" s="193" t="s">
        <v>811</v>
      </c>
      <c r="K180" s="193" t="s">
        <v>687</v>
      </c>
    </row>
    <row r="181" spans="1:11" x14ac:dyDescent="0.3">
      <c r="A181" t="s">
        <v>393</v>
      </c>
      <c r="B181" t="s">
        <v>394</v>
      </c>
      <c r="C181">
        <v>12</v>
      </c>
      <c r="D181" t="s">
        <v>16</v>
      </c>
      <c r="E181">
        <f t="shared" si="2"/>
        <v>540000</v>
      </c>
      <c r="F181">
        <v>6480000</v>
      </c>
      <c r="G181" t="s">
        <v>178</v>
      </c>
      <c r="H181" t="s">
        <v>1074</v>
      </c>
      <c r="I181" s="193" t="s">
        <v>814</v>
      </c>
      <c r="J181" s="193" t="s">
        <v>811</v>
      </c>
      <c r="K181" s="193" t="s">
        <v>687</v>
      </c>
    </row>
    <row r="182" spans="1:11" x14ac:dyDescent="0.3">
      <c r="A182" t="s">
        <v>395</v>
      </c>
      <c r="B182" t="s">
        <v>396</v>
      </c>
      <c r="C182">
        <v>4</v>
      </c>
      <c r="D182" t="s">
        <v>97</v>
      </c>
      <c r="E182">
        <f t="shared" si="2"/>
        <v>46000</v>
      </c>
      <c r="F182">
        <v>184000</v>
      </c>
      <c r="G182" t="s">
        <v>178</v>
      </c>
      <c r="H182" t="s">
        <v>1075</v>
      </c>
      <c r="I182" s="193" t="s">
        <v>814</v>
      </c>
      <c r="J182" s="193" t="s">
        <v>811</v>
      </c>
      <c r="K182" s="193" t="s">
        <v>687</v>
      </c>
    </row>
    <row r="183" spans="1:11" x14ac:dyDescent="0.3">
      <c r="A183" t="s">
        <v>397</v>
      </c>
      <c r="B183" t="s">
        <v>398</v>
      </c>
      <c r="C183">
        <v>12</v>
      </c>
      <c r="D183" t="s">
        <v>7</v>
      </c>
      <c r="E183">
        <f t="shared" si="2"/>
        <v>3000</v>
      </c>
      <c r="F183">
        <v>36000</v>
      </c>
      <c r="G183" t="s">
        <v>178</v>
      </c>
      <c r="H183" t="s">
        <v>1075</v>
      </c>
      <c r="I183" s="193" t="s">
        <v>814</v>
      </c>
      <c r="J183" s="193" t="s">
        <v>811</v>
      </c>
      <c r="K183" s="193" t="s">
        <v>687</v>
      </c>
    </row>
    <row r="184" spans="1:11" x14ac:dyDescent="0.3">
      <c r="A184" t="s">
        <v>399</v>
      </c>
      <c r="B184" t="s">
        <v>400</v>
      </c>
      <c r="C184">
        <v>12</v>
      </c>
      <c r="D184" t="s">
        <v>62</v>
      </c>
      <c r="E184">
        <f t="shared" si="2"/>
        <v>7000</v>
      </c>
      <c r="F184">
        <v>84000</v>
      </c>
      <c r="G184" t="s">
        <v>178</v>
      </c>
      <c r="H184" t="s">
        <v>1075</v>
      </c>
      <c r="I184" s="193" t="s">
        <v>814</v>
      </c>
      <c r="J184" s="193" t="s">
        <v>811</v>
      </c>
      <c r="K184" s="193" t="s">
        <v>687</v>
      </c>
    </row>
    <row r="185" spans="1:11" x14ac:dyDescent="0.3">
      <c r="A185" t="s">
        <v>401</v>
      </c>
      <c r="B185" t="s">
        <v>402</v>
      </c>
      <c r="C185">
        <v>12</v>
      </c>
      <c r="D185" t="s">
        <v>62</v>
      </c>
      <c r="E185">
        <f t="shared" si="2"/>
        <v>3000</v>
      </c>
      <c r="F185">
        <v>36000</v>
      </c>
      <c r="G185" t="s">
        <v>178</v>
      </c>
      <c r="H185" t="s">
        <v>1075</v>
      </c>
      <c r="I185" s="193" t="s">
        <v>814</v>
      </c>
      <c r="J185" s="193" t="s">
        <v>811</v>
      </c>
      <c r="K185" s="193" t="s">
        <v>687</v>
      </c>
    </row>
    <row r="186" spans="1:11" x14ac:dyDescent="0.3">
      <c r="A186" t="s">
        <v>403</v>
      </c>
      <c r="B186" t="s">
        <v>404</v>
      </c>
      <c r="C186">
        <v>12</v>
      </c>
      <c r="D186" t="s">
        <v>166</v>
      </c>
      <c r="E186">
        <f t="shared" si="2"/>
        <v>5000</v>
      </c>
      <c r="F186">
        <v>60000</v>
      </c>
      <c r="G186" t="s">
        <v>178</v>
      </c>
      <c r="H186" t="s">
        <v>1075</v>
      </c>
      <c r="I186" s="193" t="s">
        <v>814</v>
      </c>
      <c r="J186" s="193" t="s">
        <v>811</v>
      </c>
      <c r="K186" s="193" t="s">
        <v>687</v>
      </c>
    </row>
    <row r="187" spans="1:11" x14ac:dyDescent="0.3">
      <c r="A187" t="s">
        <v>405</v>
      </c>
      <c r="B187" t="s">
        <v>406</v>
      </c>
      <c r="C187">
        <v>1</v>
      </c>
      <c r="D187" t="s">
        <v>13</v>
      </c>
      <c r="E187">
        <f t="shared" si="2"/>
        <v>400000</v>
      </c>
      <c r="F187">
        <v>400000</v>
      </c>
      <c r="G187" t="s">
        <v>178</v>
      </c>
      <c r="H187" t="s">
        <v>1076</v>
      </c>
      <c r="I187" s="193" t="s">
        <v>814</v>
      </c>
      <c r="J187" s="193" t="s">
        <v>811</v>
      </c>
      <c r="K187" s="193" t="s">
        <v>687</v>
      </c>
    </row>
    <row r="188" spans="1:11" x14ac:dyDescent="0.3">
      <c r="A188" t="s">
        <v>407</v>
      </c>
      <c r="B188" t="s">
        <v>408</v>
      </c>
      <c r="C188">
        <v>4</v>
      </c>
      <c r="D188" t="s">
        <v>97</v>
      </c>
      <c r="E188">
        <f t="shared" si="2"/>
        <v>300000</v>
      </c>
      <c r="F188">
        <v>1200000</v>
      </c>
      <c r="G188" t="s">
        <v>178</v>
      </c>
      <c r="H188" t="s">
        <v>1077</v>
      </c>
      <c r="I188" s="193" t="s">
        <v>814</v>
      </c>
      <c r="J188" s="193" t="s">
        <v>811</v>
      </c>
      <c r="K188" s="193" t="s">
        <v>687</v>
      </c>
    </row>
    <row r="189" spans="1:11" x14ac:dyDescent="0.3">
      <c r="A189" t="s">
        <v>409</v>
      </c>
      <c r="B189" t="s">
        <v>410</v>
      </c>
      <c r="C189">
        <v>90</v>
      </c>
      <c r="D189" t="s">
        <v>256</v>
      </c>
      <c r="E189">
        <f t="shared" si="2"/>
        <v>70000</v>
      </c>
      <c r="F189">
        <v>6300000</v>
      </c>
      <c r="G189" t="s">
        <v>178</v>
      </c>
      <c r="H189" t="s">
        <v>1078</v>
      </c>
      <c r="I189" s="193" t="s">
        <v>814</v>
      </c>
      <c r="J189" s="193" t="s">
        <v>811</v>
      </c>
      <c r="K189" s="193" t="s">
        <v>687</v>
      </c>
    </row>
    <row r="190" spans="1:11" x14ac:dyDescent="0.3">
      <c r="A190" t="s">
        <v>411</v>
      </c>
      <c r="B190" t="s">
        <v>412</v>
      </c>
      <c r="C190">
        <v>69</v>
      </c>
      <c r="D190" t="s">
        <v>256</v>
      </c>
      <c r="E190">
        <f t="shared" si="2"/>
        <v>21500</v>
      </c>
      <c r="F190">
        <v>1483500</v>
      </c>
      <c r="G190" t="s">
        <v>178</v>
      </c>
      <c r="H190" t="s">
        <v>1079</v>
      </c>
      <c r="I190" s="193" t="s">
        <v>817</v>
      </c>
      <c r="J190" s="193" t="s">
        <v>811</v>
      </c>
      <c r="K190" s="193" t="s">
        <v>687</v>
      </c>
    </row>
    <row r="191" spans="1:11" x14ac:dyDescent="0.3">
      <c r="A191" t="s">
        <v>413</v>
      </c>
      <c r="B191" t="s">
        <v>414</v>
      </c>
      <c r="C191">
        <v>3</v>
      </c>
      <c r="D191" t="s">
        <v>131</v>
      </c>
      <c r="E191">
        <f t="shared" si="2"/>
        <v>28000</v>
      </c>
      <c r="F191">
        <v>84000</v>
      </c>
      <c r="G191" t="s">
        <v>178</v>
      </c>
      <c r="H191" t="s">
        <v>1079</v>
      </c>
      <c r="I191" s="193" t="s">
        <v>817</v>
      </c>
      <c r="J191" s="193" t="s">
        <v>811</v>
      </c>
      <c r="K191" s="193" t="s">
        <v>687</v>
      </c>
    </row>
    <row r="192" spans="1:11" x14ac:dyDescent="0.3">
      <c r="A192" t="s">
        <v>415</v>
      </c>
      <c r="B192" t="s">
        <v>416</v>
      </c>
      <c r="C192">
        <v>90</v>
      </c>
      <c r="D192" t="s">
        <v>100</v>
      </c>
      <c r="E192">
        <f t="shared" si="2"/>
        <v>8000</v>
      </c>
      <c r="F192">
        <v>720000</v>
      </c>
      <c r="G192" t="s">
        <v>178</v>
      </c>
      <c r="H192" t="s">
        <v>1079</v>
      </c>
      <c r="I192" s="193" t="s">
        <v>817</v>
      </c>
      <c r="J192" s="193" t="s">
        <v>811</v>
      </c>
      <c r="K192" s="193" t="s">
        <v>687</v>
      </c>
    </row>
    <row r="193" spans="1:11" x14ac:dyDescent="0.3">
      <c r="A193" t="s">
        <v>417</v>
      </c>
      <c r="B193" t="s">
        <v>418</v>
      </c>
      <c r="C193">
        <v>45</v>
      </c>
      <c r="D193" t="s">
        <v>7</v>
      </c>
      <c r="E193">
        <f t="shared" si="2"/>
        <v>15000</v>
      </c>
      <c r="F193">
        <v>675000</v>
      </c>
      <c r="G193" t="s">
        <v>178</v>
      </c>
      <c r="H193" t="s">
        <v>1079</v>
      </c>
      <c r="I193" s="193" t="s">
        <v>817</v>
      </c>
      <c r="J193" s="193" t="s">
        <v>811</v>
      </c>
      <c r="K193" s="193" t="s">
        <v>687</v>
      </c>
    </row>
    <row r="194" spans="1:11" x14ac:dyDescent="0.3">
      <c r="A194" t="s">
        <v>419</v>
      </c>
      <c r="B194" t="s">
        <v>420</v>
      </c>
      <c r="C194">
        <v>3</v>
      </c>
      <c r="D194" t="s">
        <v>7</v>
      </c>
      <c r="E194">
        <f t="shared" si="2"/>
        <v>52500</v>
      </c>
      <c r="F194">
        <v>157500</v>
      </c>
      <c r="G194" t="s">
        <v>178</v>
      </c>
      <c r="H194" t="s">
        <v>1079</v>
      </c>
      <c r="I194" s="193" t="s">
        <v>817</v>
      </c>
      <c r="J194" s="193" t="s">
        <v>811</v>
      </c>
      <c r="K194" s="193" t="s">
        <v>687</v>
      </c>
    </row>
    <row r="195" spans="1:11" x14ac:dyDescent="0.3">
      <c r="A195" t="s">
        <v>421</v>
      </c>
      <c r="B195" t="s">
        <v>422</v>
      </c>
      <c r="C195">
        <v>3</v>
      </c>
      <c r="D195" t="s">
        <v>157</v>
      </c>
      <c r="E195">
        <f t="shared" ref="E195:E257" si="3">F195/C195</f>
        <v>600000</v>
      </c>
      <c r="F195">
        <v>1800000</v>
      </c>
      <c r="G195" t="s">
        <v>178</v>
      </c>
      <c r="H195" t="s">
        <v>1079</v>
      </c>
      <c r="I195" s="193" t="s">
        <v>817</v>
      </c>
      <c r="J195" s="193" t="s">
        <v>811</v>
      </c>
      <c r="K195" s="193" t="s">
        <v>687</v>
      </c>
    </row>
    <row r="196" spans="1:11" x14ac:dyDescent="0.3">
      <c r="A196" t="s">
        <v>423</v>
      </c>
      <c r="B196" t="s">
        <v>424</v>
      </c>
      <c r="C196">
        <v>1</v>
      </c>
      <c r="D196" t="s">
        <v>13</v>
      </c>
      <c r="E196">
        <f t="shared" si="3"/>
        <v>200000</v>
      </c>
      <c r="F196">
        <v>200000</v>
      </c>
      <c r="G196" t="s">
        <v>77</v>
      </c>
      <c r="H196" t="s">
        <v>1080</v>
      </c>
      <c r="I196" s="193" t="s">
        <v>819</v>
      </c>
      <c r="J196" s="193" t="s">
        <v>811</v>
      </c>
      <c r="K196" s="193" t="s">
        <v>687</v>
      </c>
    </row>
    <row r="197" spans="1:11" x14ac:dyDescent="0.3">
      <c r="A197" t="s">
        <v>425</v>
      </c>
      <c r="B197" t="s">
        <v>426</v>
      </c>
      <c r="C197">
        <v>1</v>
      </c>
      <c r="D197" t="s">
        <v>13</v>
      </c>
      <c r="E197">
        <f t="shared" si="3"/>
        <v>2400000</v>
      </c>
      <c r="F197">
        <v>2400000</v>
      </c>
      <c r="G197" t="s">
        <v>178</v>
      </c>
      <c r="H197" t="s">
        <v>1081</v>
      </c>
      <c r="I197" s="193" t="s">
        <v>819</v>
      </c>
      <c r="J197" s="193" t="s">
        <v>811</v>
      </c>
      <c r="K197" s="193" t="s">
        <v>687</v>
      </c>
    </row>
    <row r="198" spans="1:11" x14ac:dyDescent="0.3">
      <c r="A198" t="s">
        <v>427</v>
      </c>
      <c r="B198" t="s">
        <v>428</v>
      </c>
      <c r="C198">
        <v>1</v>
      </c>
      <c r="D198" t="s">
        <v>7</v>
      </c>
      <c r="E198">
        <f t="shared" si="3"/>
        <v>3000000</v>
      </c>
      <c r="F198">
        <v>3000000</v>
      </c>
      <c r="G198" t="s">
        <v>178</v>
      </c>
      <c r="H198" t="s">
        <v>1082</v>
      </c>
      <c r="I198" s="193" t="s">
        <v>826</v>
      </c>
      <c r="J198" s="193" t="s">
        <v>824</v>
      </c>
      <c r="K198" s="193" t="s">
        <v>687</v>
      </c>
    </row>
    <row r="199" spans="1:11" x14ac:dyDescent="0.3">
      <c r="A199" t="s">
        <v>429</v>
      </c>
      <c r="B199" t="s">
        <v>430</v>
      </c>
      <c r="C199">
        <v>1</v>
      </c>
      <c r="D199" t="s">
        <v>7</v>
      </c>
      <c r="E199">
        <f t="shared" si="3"/>
        <v>3350000</v>
      </c>
      <c r="F199">
        <v>3350000</v>
      </c>
      <c r="G199" t="s">
        <v>77</v>
      </c>
      <c r="H199" t="s">
        <v>1083</v>
      </c>
      <c r="I199" s="193" t="s">
        <v>828</v>
      </c>
      <c r="J199" s="193" t="s">
        <v>824</v>
      </c>
      <c r="K199" s="193" t="s">
        <v>687</v>
      </c>
    </row>
    <row r="200" spans="1:11" x14ac:dyDescent="0.3">
      <c r="A200" t="s">
        <v>431</v>
      </c>
      <c r="B200" t="s">
        <v>432</v>
      </c>
      <c r="C200">
        <v>1</v>
      </c>
      <c r="D200" t="s">
        <v>13</v>
      </c>
      <c r="E200">
        <f t="shared" si="3"/>
        <v>2400000</v>
      </c>
      <c r="F200">
        <v>2400000</v>
      </c>
      <c r="G200" t="s">
        <v>77</v>
      </c>
      <c r="H200" t="s">
        <v>1085</v>
      </c>
      <c r="I200" s="193" t="s">
        <v>831</v>
      </c>
      <c r="J200" s="193" t="s">
        <v>824</v>
      </c>
      <c r="K200" s="193" t="s">
        <v>687</v>
      </c>
    </row>
    <row r="201" spans="1:11" x14ac:dyDescent="0.3">
      <c r="A201" t="s">
        <v>433</v>
      </c>
      <c r="B201" t="s">
        <v>434</v>
      </c>
      <c r="C201">
        <v>1</v>
      </c>
      <c r="D201" t="s">
        <v>7</v>
      </c>
      <c r="E201">
        <f t="shared" si="3"/>
        <v>12000000</v>
      </c>
      <c r="F201">
        <v>12000000</v>
      </c>
      <c r="G201" t="s">
        <v>77</v>
      </c>
      <c r="H201" t="s">
        <v>1086</v>
      </c>
      <c r="I201" s="193" t="s">
        <v>831</v>
      </c>
      <c r="J201" s="193" t="s">
        <v>824</v>
      </c>
      <c r="K201" s="193" t="s">
        <v>687</v>
      </c>
    </row>
    <row r="202" spans="1:11" x14ac:dyDescent="0.3">
      <c r="A202" t="s">
        <v>435</v>
      </c>
      <c r="B202" t="s">
        <v>436</v>
      </c>
      <c r="C202">
        <v>30</v>
      </c>
      <c r="D202" t="s">
        <v>188</v>
      </c>
      <c r="E202">
        <f t="shared" si="3"/>
        <v>140000</v>
      </c>
      <c r="F202">
        <v>4200000</v>
      </c>
      <c r="G202" t="s">
        <v>178</v>
      </c>
      <c r="H202" t="s">
        <v>1087</v>
      </c>
      <c r="I202" s="193" t="s">
        <v>831</v>
      </c>
      <c r="J202" s="193" t="s">
        <v>824</v>
      </c>
      <c r="K202" s="193" t="s">
        <v>687</v>
      </c>
    </row>
    <row r="203" spans="1:11" x14ac:dyDescent="0.3">
      <c r="A203" t="s">
        <v>437</v>
      </c>
      <c r="B203" t="s">
        <v>438</v>
      </c>
      <c r="C203">
        <v>10</v>
      </c>
      <c r="D203" t="s">
        <v>188</v>
      </c>
      <c r="E203">
        <f t="shared" si="3"/>
        <v>168000</v>
      </c>
      <c r="F203">
        <v>1680000</v>
      </c>
      <c r="G203" t="s">
        <v>178</v>
      </c>
      <c r="H203" t="s">
        <v>1087</v>
      </c>
      <c r="I203" s="193" t="s">
        <v>831</v>
      </c>
      <c r="J203" s="193" t="s">
        <v>824</v>
      </c>
      <c r="K203" s="193" t="s">
        <v>687</v>
      </c>
    </row>
    <row r="204" spans="1:11" x14ac:dyDescent="0.3">
      <c r="A204" t="s">
        <v>439</v>
      </c>
      <c r="B204" t="s">
        <v>440</v>
      </c>
      <c r="C204">
        <v>50</v>
      </c>
      <c r="D204" t="s">
        <v>441</v>
      </c>
      <c r="E204">
        <f t="shared" si="3"/>
        <v>7000</v>
      </c>
      <c r="F204">
        <v>350000</v>
      </c>
      <c r="G204" t="s">
        <v>178</v>
      </c>
      <c r="H204" t="s">
        <v>1087</v>
      </c>
      <c r="I204" s="193" t="s">
        <v>831</v>
      </c>
      <c r="J204" s="193" t="s">
        <v>824</v>
      </c>
      <c r="K204" s="193" t="s">
        <v>687</v>
      </c>
    </row>
    <row r="205" spans="1:11" x14ac:dyDescent="0.3">
      <c r="A205" t="s">
        <v>442</v>
      </c>
      <c r="B205" t="s">
        <v>443</v>
      </c>
      <c r="C205">
        <v>17</v>
      </c>
      <c r="D205" t="s">
        <v>166</v>
      </c>
      <c r="E205">
        <f t="shared" si="3"/>
        <v>7000</v>
      </c>
      <c r="F205">
        <v>119000</v>
      </c>
      <c r="G205" t="s">
        <v>178</v>
      </c>
      <c r="H205" t="s">
        <v>1087</v>
      </c>
      <c r="I205" s="193" t="s">
        <v>831</v>
      </c>
      <c r="J205" s="193" t="s">
        <v>824</v>
      </c>
      <c r="K205" s="193" t="s">
        <v>687</v>
      </c>
    </row>
    <row r="206" spans="1:11" x14ac:dyDescent="0.3">
      <c r="A206" t="s">
        <v>444</v>
      </c>
      <c r="B206" t="s">
        <v>445</v>
      </c>
      <c r="C206">
        <v>3</v>
      </c>
      <c r="D206" t="s">
        <v>62</v>
      </c>
      <c r="E206">
        <f t="shared" si="3"/>
        <v>5300</v>
      </c>
      <c r="F206">
        <v>15900</v>
      </c>
      <c r="G206" t="s">
        <v>178</v>
      </c>
      <c r="H206" t="s">
        <v>1087</v>
      </c>
      <c r="I206" s="193" t="s">
        <v>831</v>
      </c>
      <c r="J206" s="193" t="s">
        <v>824</v>
      </c>
      <c r="K206" s="193" t="s">
        <v>687</v>
      </c>
    </row>
    <row r="207" spans="1:11" x14ac:dyDescent="0.3">
      <c r="A207" t="s">
        <v>446</v>
      </c>
      <c r="B207" t="s">
        <v>447</v>
      </c>
      <c r="C207">
        <v>3</v>
      </c>
      <c r="D207" t="s">
        <v>188</v>
      </c>
      <c r="E207">
        <f t="shared" si="3"/>
        <v>1500000</v>
      </c>
      <c r="F207">
        <v>4500000</v>
      </c>
      <c r="G207" t="s">
        <v>178</v>
      </c>
      <c r="H207" t="s">
        <v>1091</v>
      </c>
      <c r="I207" s="193" t="s">
        <v>1090</v>
      </c>
      <c r="J207" s="193" t="s">
        <v>824</v>
      </c>
      <c r="K207" s="193" t="s">
        <v>687</v>
      </c>
    </row>
    <row r="208" spans="1:11" x14ac:dyDescent="0.3">
      <c r="A208" t="s">
        <v>448</v>
      </c>
      <c r="B208" t="s">
        <v>449</v>
      </c>
      <c r="C208">
        <v>1</v>
      </c>
      <c r="D208" t="s">
        <v>188</v>
      </c>
      <c r="E208">
        <f t="shared" si="3"/>
        <v>2000000</v>
      </c>
      <c r="F208">
        <v>2000000</v>
      </c>
      <c r="G208" t="s">
        <v>178</v>
      </c>
      <c r="H208" t="s">
        <v>1092</v>
      </c>
      <c r="I208" s="193" t="s">
        <v>1090</v>
      </c>
      <c r="J208" s="193" t="s">
        <v>824</v>
      </c>
      <c r="K208" s="193" t="s">
        <v>687</v>
      </c>
    </row>
    <row r="209" spans="1:11" x14ac:dyDescent="0.3">
      <c r="A209" t="s">
        <v>450</v>
      </c>
      <c r="B209" t="s">
        <v>451</v>
      </c>
      <c r="C209">
        <v>2</v>
      </c>
      <c r="D209" t="s">
        <v>452</v>
      </c>
      <c r="E209">
        <f t="shared" si="3"/>
        <v>10000000</v>
      </c>
      <c r="F209">
        <v>20000000</v>
      </c>
      <c r="G209" t="s">
        <v>178</v>
      </c>
      <c r="H209" t="s">
        <v>1093</v>
      </c>
      <c r="I209" s="193" t="s">
        <v>858</v>
      </c>
      <c r="J209" s="193" t="s">
        <v>857</v>
      </c>
      <c r="K209" s="193" t="s">
        <v>687</v>
      </c>
    </row>
    <row r="210" spans="1:11" x14ac:dyDescent="0.3">
      <c r="A210" t="s">
        <v>453</v>
      </c>
      <c r="B210" t="s">
        <v>454</v>
      </c>
      <c r="C210">
        <v>1</v>
      </c>
      <c r="D210" t="s">
        <v>13</v>
      </c>
      <c r="E210">
        <f t="shared" si="3"/>
        <v>3000000</v>
      </c>
      <c r="F210">
        <v>3000000</v>
      </c>
      <c r="G210" t="s">
        <v>69</v>
      </c>
      <c r="H210" t="s">
        <v>1094</v>
      </c>
      <c r="I210" s="193" t="s">
        <v>882</v>
      </c>
      <c r="J210" s="193" t="s">
        <v>879</v>
      </c>
      <c r="K210" s="193" t="s">
        <v>687</v>
      </c>
    </row>
    <row r="211" spans="1:11" x14ac:dyDescent="0.3">
      <c r="A211" t="s">
        <v>455</v>
      </c>
      <c r="B211" t="s">
        <v>456</v>
      </c>
      <c r="C211">
        <v>1</v>
      </c>
      <c r="D211" t="s">
        <v>13</v>
      </c>
      <c r="E211">
        <f t="shared" si="3"/>
        <v>1000000</v>
      </c>
      <c r="F211">
        <v>1000000</v>
      </c>
      <c r="G211" t="s">
        <v>178</v>
      </c>
      <c r="H211" t="s">
        <v>1095</v>
      </c>
      <c r="I211" s="193" t="s">
        <v>883</v>
      </c>
      <c r="J211" s="193" t="s">
        <v>879</v>
      </c>
      <c r="K211" s="193" t="s">
        <v>687</v>
      </c>
    </row>
    <row r="212" spans="1:11" x14ac:dyDescent="0.3">
      <c r="A212" t="s">
        <v>457</v>
      </c>
      <c r="B212" t="s">
        <v>458</v>
      </c>
      <c r="C212">
        <v>1</v>
      </c>
      <c r="D212" t="s">
        <v>13</v>
      </c>
      <c r="E212">
        <f t="shared" si="3"/>
        <v>1000000</v>
      </c>
      <c r="F212">
        <v>1000000</v>
      </c>
      <c r="G212" t="s">
        <v>178</v>
      </c>
      <c r="H212" t="s">
        <v>1096</v>
      </c>
      <c r="I212" s="193" t="s">
        <v>883</v>
      </c>
      <c r="J212" s="193" t="s">
        <v>879</v>
      </c>
      <c r="K212" s="193" t="s">
        <v>687</v>
      </c>
    </row>
    <row r="213" spans="1:11" x14ac:dyDescent="0.3">
      <c r="A213" t="s">
        <v>459</v>
      </c>
      <c r="B213" t="s">
        <v>460</v>
      </c>
      <c r="C213">
        <v>12</v>
      </c>
      <c r="D213" t="s">
        <v>16</v>
      </c>
      <c r="E213">
        <f t="shared" si="3"/>
        <v>300000</v>
      </c>
      <c r="F213">
        <v>3600000</v>
      </c>
      <c r="G213" t="s">
        <v>178</v>
      </c>
      <c r="H213" t="s">
        <v>1098</v>
      </c>
      <c r="I213" s="193" t="s">
        <v>1097</v>
      </c>
      <c r="J213" s="193" t="s">
        <v>879</v>
      </c>
      <c r="K213" s="193" t="s">
        <v>687</v>
      </c>
    </row>
    <row r="214" spans="1:11" x14ac:dyDescent="0.3">
      <c r="A214" t="s">
        <v>461</v>
      </c>
      <c r="B214" t="s">
        <v>462</v>
      </c>
      <c r="C214">
        <v>1</v>
      </c>
      <c r="D214" t="s">
        <v>7</v>
      </c>
      <c r="E214">
        <f t="shared" si="3"/>
        <v>9500000</v>
      </c>
      <c r="F214">
        <v>9500000</v>
      </c>
      <c r="G214" t="s">
        <v>178</v>
      </c>
      <c r="H214" t="s">
        <v>1099</v>
      </c>
      <c r="I214" s="193" t="s">
        <v>886</v>
      </c>
      <c r="J214" s="193" t="s">
        <v>884</v>
      </c>
      <c r="K214" s="193" t="s">
        <v>687</v>
      </c>
    </row>
    <row r="215" spans="1:11" x14ac:dyDescent="0.3">
      <c r="A215" t="s">
        <v>463</v>
      </c>
      <c r="B215" t="s">
        <v>464</v>
      </c>
      <c r="C215">
        <v>4</v>
      </c>
      <c r="D215" t="s">
        <v>157</v>
      </c>
      <c r="E215">
        <f t="shared" si="3"/>
        <v>100000</v>
      </c>
      <c r="F215">
        <v>400000</v>
      </c>
      <c r="G215" t="s">
        <v>178</v>
      </c>
      <c r="H215" t="s">
        <v>1100</v>
      </c>
      <c r="I215" s="193" t="s">
        <v>886</v>
      </c>
      <c r="J215" s="193" t="s">
        <v>884</v>
      </c>
      <c r="K215" s="193" t="s">
        <v>687</v>
      </c>
    </row>
    <row r="216" spans="1:11" x14ac:dyDescent="0.3">
      <c r="A216" t="s">
        <v>465</v>
      </c>
      <c r="B216" t="s">
        <v>466</v>
      </c>
      <c r="C216">
        <v>30</v>
      </c>
      <c r="D216" t="s">
        <v>256</v>
      </c>
      <c r="E216">
        <f t="shared" si="3"/>
        <v>25000</v>
      </c>
      <c r="F216">
        <v>750000</v>
      </c>
      <c r="G216" t="s">
        <v>69</v>
      </c>
      <c r="H216" t="s">
        <v>1101</v>
      </c>
      <c r="I216" s="193" t="s">
        <v>896</v>
      </c>
      <c r="J216" s="193" t="s">
        <v>893</v>
      </c>
      <c r="K216" s="193" t="s">
        <v>688</v>
      </c>
    </row>
    <row r="217" spans="1:11" x14ac:dyDescent="0.3">
      <c r="A217" t="s">
        <v>467</v>
      </c>
      <c r="B217" t="s">
        <v>468</v>
      </c>
      <c r="C217">
        <v>1</v>
      </c>
      <c r="D217" t="s">
        <v>200</v>
      </c>
      <c r="E217">
        <f t="shared" si="3"/>
        <v>57000</v>
      </c>
      <c r="F217">
        <v>57000</v>
      </c>
      <c r="G217" t="s">
        <v>69</v>
      </c>
      <c r="H217" t="s">
        <v>1101</v>
      </c>
      <c r="I217" s="193" t="s">
        <v>896</v>
      </c>
      <c r="J217" s="193" t="s">
        <v>893</v>
      </c>
      <c r="K217" s="193" t="s">
        <v>688</v>
      </c>
    </row>
    <row r="218" spans="1:11" x14ac:dyDescent="0.3">
      <c r="A218" t="s">
        <v>469</v>
      </c>
      <c r="B218" t="s">
        <v>470</v>
      </c>
      <c r="C218">
        <v>1</v>
      </c>
      <c r="D218" t="s">
        <v>200</v>
      </c>
      <c r="E218">
        <f t="shared" si="3"/>
        <v>23000</v>
      </c>
      <c r="F218">
        <v>23000</v>
      </c>
      <c r="G218" t="s">
        <v>69</v>
      </c>
      <c r="H218" t="s">
        <v>1101</v>
      </c>
      <c r="I218" s="193" t="s">
        <v>896</v>
      </c>
      <c r="J218" s="193" t="s">
        <v>893</v>
      </c>
      <c r="K218" s="193" t="s">
        <v>688</v>
      </c>
    </row>
    <row r="219" spans="1:11" x14ac:dyDescent="0.3">
      <c r="A219" t="s">
        <v>471</v>
      </c>
      <c r="B219" t="s">
        <v>472</v>
      </c>
      <c r="C219">
        <v>1</v>
      </c>
      <c r="D219" t="s">
        <v>166</v>
      </c>
      <c r="E219">
        <f t="shared" si="3"/>
        <v>110000</v>
      </c>
      <c r="F219">
        <v>110000</v>
      </c>
      <c r="G219" t="s">
        <v>69</v>
      </c>
      <c r="H219" t="s">
        <v>1101</v>
      </c>
      <c r="I219" s="193" t="s">
        <v>896</v>
      </c>
      <c r="J219" s="193" t="s">
        <v>893</v>
      </c>
      <c r="K219" s="193" t="s">
        <v>688</v>
      </c>
    </row>
    <row r="220" spans="1:11" x14ac:dyDescent="0.3">
      <c r="A220" t="s">
        <v>473</v>
      </c>
      <c r="B220" t="s">
        <v>474</v>
      </c>
      <c r="C220">
        <v>2</v>
      </c>
      <c r="D220" t="s">
        <v>157</v>
      </c>
      <c r="E220">
        <f t="shared" si="3"/>
        <v>1000000</v>
      </c>
      <c r="F220">
        <v>2000000</v>
      </c>
      <c r="G220" t="s">
        <v>69</v>
      </c>
      <c r="H220" t="s">
        <v>1101</v>
      </c>
      <c r="I220" s="193" t="s">
        <v>896</v>
      </c>
      <c r="J220" s="193" t="s">
        <v>893</v>
      </c>
      <c r="K220" s="193" t="s">
        <v>688</v>
      </c>
    </row>
    <row r="221" spans="1:11" x14ac:dyDescent="0.3">
      <c r="A221" t="s">
        <v>475</v>
      </c>
      <c r="B221" t="s">
        <v>476</v>
      </c>
      <c r="C221">
        <v>1</v>
      </c>
      <c r="D221" t="s">
        <v>7</v>
      </c>
      <c r="E221">
        <f t="shared" si="3"/>
        <v>3700000</v>
      </c>
      <c r="F221">
        <v>3700000</v>
      </c>
      <c r="G221" t="s">
        <v>77</v>
      </c>
      <c r="H221" t="s">
        <v>1102</v>
      </c>
      <c r="I221" s="193" t="s">
        <v>899</v>
      </c>
      <c r="J221" s="193" t="s">
        <v>893</v>
      </c>
      <c r="K221" s="193" t="s">
        <v>688</v>
      </c>
    </row>
    <row r="222" spans="1:11" x14ac:dyDescent="0.3">
      <c r="A222" t="s">
        <v>477</v>
      </c>
      <c r="B222" t="s">
        <v>478</v>
      </c>
      <c r="C222">
        <v>100</v>
      </c>
      <c r="D222" t="s">
        <v>256</v>
      </c>
      <c r="E222">
        <f t="shared" si="3"/>
        <v>25000</v>
      </c>
      <c r="F222">
        <v>2500000</v>
      </c>
      <c r="G222" t="s">
        <v>178</v>
      </c>
      <c r="H222" t="s">
        <v>1104</v>
      </c>
      <c r="I222" s="193" t="s">
        <v>901</v>
      </c>
      <c r="J222" s="193" t="s">
        <v>893</v>
      </c>
      <c r="K222" s="193" t="s">
        <v>688</v>
      </c>
    </row>
    <row r="223" spans="1:11" x14ac:dyDescent="0.3">
      <c r="A223" t="s">
        <v>479</v>
      </c>
      <c r="B223" t="s">
        <v>480</v>
      </c>
      <c r="C223">
        <v>100</v>
      </c>
      <c r="D223" t="s">
        <v>256</v>
      </c>
      <c r="E223">
        <f t="shared" si="3"/>
        <v>10000</v>
      </c>
      <c r="F223">
        <v>1000000</v>
      </c>
      <c r="G223" t="s">
        <v>178</v>
      </c>
      <c r="H223" t="s">
        <v>1104</v>
      </c>
      <c r="I223" s="193" t="s">
        <v>901</v>
      </c>
      <c r="J223" s="193" t="s">
        <v>893</v>
      </c>
      <c r="K223" s="193" t="s">
        <v>688</v>
      </c>
    </row>
    <row r="224" spans="1:11" x14ac:dyDescent="0.3">
      <c r="A224" t="s">
        <v>481</v>
      </c>
      <c r="B224" t="s">
        <v>482</v>
      </c>
      <c r="C224">
        <v>4</v>
      </c>
      <c r="D224" t="s">
        <v>131</v>
      </c>
      <c r="E224">
        <f t="shared" si="3"/>
        <v>53000</v>
      </c>
      <c r="F224">
        <v>212000</v>
      </c>
      <c r="G224" t="s">
        <v>178</v>
      </c>
      <c r="H224" t="s">
        <v>1104</v>
      </c>
      <c r="I224" s="193" t="s">
        <v>901</v>
      </c>
      <c r="J224" s="193" t="s">
        <v>893</v>
      </c>
      <c r="K224" s="193" t="s">
        <v>688</v>
      </c>
    </row>
    <row r="225" spans="1:11" x14ac:dyDescent="0.3">
      <c r="A225" t="s">
        <v>483</v>
      </c>
      <c r="B225" t="s">
        <v>484</v>
      </c>
      <c r="C225">
        <v>2</v>
      </c>
      <c r="D225" t="s">
        <v>131</v>
      </c>
      <c r="E225">
        <f t="shared" si="3"/>
        <v>44000</v>
      </c>
      <c r="F225">
        <v>88000</v>
      </c>
      <c r="G225" t="s">
        <v>178</v>
      </c>
      <c r="H225" t="s">
        <v>1104</v>
      </c>
      <c r="I225" s="193" t="s">
        <v>901</v>
      </c>
      <c r="J225" s="193" t="s">
        <v>893</v>
      </c>
      <c r="K225" s="193" t="s">
        <v>688</v>
      </c>
    </row>
    <row r="226" spans="1:11" x14ac:dyDescent="0.3">
      <c r="A226" t="s">
        <v>485</v>
      </c>
      <c r="B226" t="s">
        <v>486</v>
      </c>
      <c r="C226">
        <v>1</v>
      </c>
      <c r="D226" t="s">
        <v>62</v>
      </c>
      <c r="E226">
        <f t="shared" si="3"/>
        <v>150000</v>
      </c>
      <c r="F226">
        <v>150000</v>
      </c>
      <c r="G226" t="s">
        <v>178</v>
      </c>
      <c r="H226" t="s">
        <v>1104</v>
      </c>
      <c r="I226" s="193" t="s">
        <v>901</v>
      </c>
      <c r="J226" s="193" t="s">
        <v>893</v>
      </c>
      <c r="K226" s="193" t="s">
        <v>688</v>
      </c>
    </row>
    <row r="227" spans="1:11" x14ac:dyDescent="0.3">
      <c r="A227" t="s">
        <v>487</v>
      </c>
      <c r="B227" t="s">
        <v>488</v>
      </c>
      <c r="C227">
        <v>2</v>
      </c>
      <c r="D227" t="s">
        <v>157</v>
      </c>
      <c r="E227">
        <f t="shared" si="3"/>
        <v>500000</v>
      </c>
      <c r="F227">
        <v>1000000</v>
      </c>
      <c r="G227" t="s">
        <v>178</v>
      </c>
      <c r="H227" t="s">
        <v>1104</v>
      </c>
      <c r="I227" s="193" t="s">
        <v>901</v>
      </c>
      <c r="J227" s="193" t="s">
        <v>893</v>
      </c>
      <c r="K227" s="193" t="s">
        <v>688</v>
      </c>
    </row>
    <row r="228" spans="1:11" x14ac:dyDescent="0.3">
      <c r="A228" t="s">
        <v>489</v>
      </c>
      <c r="B228" t="s">
        <v>490</v>
      </c>
      <c r="C228">
        <v>500</v>
      </c>
      <c r="D228" t="s">
        <v>256</v>
      </c>
      <c r="E228">
        <f t="shared" si="3"/>
        <v>20000</v>
      </c>
      <c r="F228">
        <v>10000000</v>
      </c>
      <c r="G228" t="s">
        <v>69</v>
      </c>
      <c r="H228" t="s">
        <v>1105</v>
      </c>
      <c r="I228" s="193" t="s">
        <v>907</v>
      </c>
      <c r="J228" s="193" t="s">
        <v>902</v>
      </c>
      <c r="K228" s="193" t="s">
        <v>688</v>
      </c>
    </row>
    <row r="229" spans="1:11" x14ac:dyDescent="0.3">
      <c r="A229" t="s">
        <v>491</v>
      </c>
      <c r="B229" t="s">
        <v>492</v>
      </c>
      <c r="C229">
        <v>1</v>
      </c>
      <c r="D229" t="s">
        <v>7</v>
      </c>
      <c r="E229">
        <f t="shared" si="3"/>
        <v>1500000</v>
      </c>
      <c r="F229">
        <v>1500000</v>
      </c>
      <c r="G229" t="s">
        <v>77</v>
      </c>
      <c r="H229" t="s">
        <v>1109</v>
      </c>
      <c r="I229" s="193" t="s">
        <v>907</v>
      </c>
      <c r="J229" s="193" t="s">
        <v>902</v>
      </c>
      <c r="K229" s="193" t="s">
        <v>688</v>
      </c>
    </row>
    <row r="230" spans="1:11" x14ac:dyDescent="0.3">
      <c r="A230" t="s">
        <v>493</v>
      </c>
      <c r="B230" t="s">
        <v>494</v>
      </c>
      <c r="C230">
        <v>1</v>
      </c>
      <c r="D230" t="s">
        <v>188</v>
      </c>
      <c r="E230">
        <f t="shared" si="3"/>
        <v>1000000</v>
      </c>
      <c r="F230">
        <v>1000000</v>
      </c>
      <c r="G230" t="s">
        <v>69</v>
      </c>
      <c r="H230" t="s">
        <v>1112</v>
      </c>
      <c r="I230" s="193" t="s">
        <v>907</v>
      </c>
      <c r="J230" s="193" t="s">
        <v>902</v>
      </c>
      <c r="K230" s="193" t="s">
        <v>688</v>
      </c>
    </row>
    <row r="231" spans="1:11" x14ac:dyDescent="0.3">
      <c r="A231" t="s">
        <v>495</v>
      </c>
      <c r="B231" t="s">
        <v>496</v>
      </c>
      <c r="C231">
        <v>1</v>
      </c>
      <c r="D231" t="s">
        <v>62</v>
      </c>
      <c r="E231">
        <f t="shared" si="3"/>
        <v>253000</v>
      </c>
      <c r="F231">
        <v>253000</v>
      </c>
      <c r="G231" t="s">
        <v>69</v>
      </c>
      <c r="H231" t="s">
        <v>1113</v>
      </c>
      <c r="I231" s="193" t="s">
        <v>907</v>
      </c>
      <c r="J231" s="193" t="s">
        <v>902</v>
      </c>
      <c r="K231" s="193" t="s">
        <v>688</v>
      </c>
    </row>
    <row r="232" spans="1:11" x14ac:dyDescent="0.3">
      <c r="A232" t="s">
        <v>497</v>
      </c>
      <c r="B232" t="s">
        <v>498</v>
      </c>
      <c r="C232">
        <v>27</v>
      </c>
      <c r="D232" t="s">
        <v>256</v>
      </c>
      <c r="E232">
        <f t="shared" si="3"/>
        <v>22000</v>
      </c>
      <c r="F232">
        <v>594000</v>
      </c>
      <c r="G232" t="s">
        <v>69</v>
      </c>
      <c r="H232" t="s">
        <v>1113</v>
      </c>
      <c r="I232" s="193" t="s">
        <v>907</v>
      </c>
      <c r="J232" s="193" t="s">
        <v>902</v>
      </c>
      <c r="K232" s="193" t="s">
        <v>688</v>
      </c>
    </row>
    <row r="233" spans="1:11" x14ac:dyDescent="0.3">
      <c r="A233" t="s">
        <v>499</v>
      </c>
      <c r="B233" t="s">
        <v>500</v>
      </c>
      <c r="C233">
        <v>1</v>
      </c>
      <c r="D233" t="s">
        <v>131</v>
      </c>
      <c r="E233">
        <f t="shared" si="3"/>
        <v>53000</v>
      </c>
      <c r="F233">
        <v>53000</v>
      </c>
      <c r="G233" t="s">
        <v>69</v>
      </c>
      <c r="H233" t="s">
        <v>1113</v>
      </c>
      <c r="I233" s="193" t="s">
        <v>907</v>
      </c>
      <c r="J233" s="193" t="s">
        <v>902</v>
      </c>
      <c r="K233" s="193" t="s">
        <v>688</v>
      </c>
    </row>
    <row r="234" spans="1:11" x14ac:dyDescent="0.3">
      <c r="A234" t="s">
        <v>501</v>
      </c>
      <c r="B234" t="s">
        <v>502</v>
      </c>
      <c r="C234">
        <v>1</v>
      </c>
      <c r="D234" t="s">
        <v>62</v>
      </c>
      <c r="E234">
        <f t="shared" si="3"/>
        <v>100000</v>
      </c>
      <c r="F234">
        <v>100000</v>
      </c>
      <c r="G234" t="s">
        <v>69</v>
      </c>
      <c r="H234" t="s">
        <v>1113</v>
      </c>
      <c r="I234" s="193" t="s">
        <v>907</v>
      </c>
      <c r="J234" s="193" t="s">
        <v>902</v>
      </c>
      <c r="K234" s="193" t="s">
        <v>688</v>
      </c>
    </row>
    <row r="235" spans="1:11" x14ac:dyDescent="0.3">
      <c r="A235" t="s">
        <v>503</v>
      </c>
      <c r="B235" t="s">
        <v>504</v>
      </c>
      <c r="C235">
        <v>1</v>
      </c>
      <c r="D235" t="s">
        <v>188</v>
      </c>
      <c r="E235">
        <f t="shared" si="3"/>
        <v>253000</v>
      </c>
      <c r="F235">
        <v>253000</v>
      </c>
      <c r="G235" t="s">
        <v>69</v>
      </c>
      <c r="H235" t="s">
        <v>1114</v>
      </c>
      <c r="I235" s="193" t="s">
        <v>907</v>
      </c>
      <c r="J235" s="193" t="s">
        <v>902</v>
      </c>
      <c r="K235" s="193" t="s">
        <v>688</v>
      </c>
    </row>
    <row r="236" spans="1:11" x14ac:dyDescent="0.3">
      <c r="A236" t="s">
        <v>505</v>
      </c>
      <c r="B236" t="s">
        <v>506</v>
      </c>
      <c r="C236">
        <v>27</v>
      </c>
      <c r="D236" t="s">
        <v>256</v>
      </c>
      <c r="E236">
        <f t="shared" si="3"/>
        <v>22000</v>
      </c>
      <c r="F236">
        <v>594000</v>
      </c>
      <c r="G236" t="s">
        <v>69</v>
      </c>
      <c r="H236" t="s">
        <v>1114</v>
      </c>
      <c r="I236" s="193" t="s">
        <v>907</v>
      </c>
      <c r="J236" s="193" t="s">
        <v>902</v>
      </c>
      <c r="K236" s="193" t="s">
        <v>688</v>
      </c>
    </row>
    <row r="237" spans="1:11" x14ac:dyDescent="0.3">
      <c r="A237" t="s">
        <v>507</v>
      </c>
      <c r="B237" t="s">
        <v>508</v>
      </c>
      <c r="C237">
        <v>1</v>
      </c>
      <c r="D237" t="s">
        <v>200</v>
      </c>
      <c r="E237">
        <f t="shared" si="3"/>
        <v>53000</v>
      </c>
      <c r="F237">
        <v>53000</v>
      </c>
      <c r="G237" t="s">
        <v>69</v>
      </c>
      <c r="H237" t="s">
        <v>1114</v>
      </c>
      <c r="I237" s="193" t="s">
        <v>907</v>
      </c>
      <c r="J237" s="193" t="s">
        <v>902</v>
      </c>
      <c r="K237" s="193" t="s">
        <v>688</v>
      </c>
    </row>
    <row r="238" spans="1:11" x14ac:dyDescent="0.3">
      <c r="A238" t="s">
        <v>509</v>
      </c>
      <c r="B238" t="s">
        <v>510</v>
      </c>
      <c r="C238">
        <v>1</v>
      </c>
      <c r="D238" t="s">
        <v>62</v>
      </c>
      <c r="E238">
        <f t="shared" si="3"/>
        <v>100000</v>
      </c>
      <c r="F238">
        <v>100000</v>
      </c>
      <c r="G238" t="s">
        <v>69</v>
      </c>
      <c r="H238" t="s">
        <v>1114</v>
      </c>
      <c r="I238" s="193" t="s">
        <v>907</v>
      </c>
      <c r="J238" s="193" t="s">
        <v>902</v>
      </c>
      <c r="K238" s="193" t="s">
        <v>688</v>
      </c>
    </row>
    <row r="239" spans="1:11" x14ac:dyDescent="0.3">
      <c r="A239" t="s">
        <v>511</v>
      </c>
      <c r="B239" t="s">
        <v>512</v>
      </c>
      <c r="C239">
        <v>1</v>
      </c>
      <c r="D239" t="s">
        <v>7</v>
      </c>
      <c r="E239">
        <f t="shared" si="3"/>
        <v>110000</v>
      </c>
      <c r="F239">
        <v>110000</v>
      </c>
      <c r="G239" t="s">
        <v>69</v>
      </c>
      <c r="H239" t="s">
        <v>1115</v>
      </c>
      <c r="I239" s="193" t="s">
        <v>907</v>
      </c>
      <c r="J239" s="193" t="s">
        <v>902</v>
      </c>
      <c r="K239" s="193" t="s">
        <v>688</v>
      </c>
    </row>
    <row r="240" spans="1:11" x14ac:dyDescent="0.3">
      <c r="A240" t="s">
        <v>513</v>
      </c>
      <c r="B240" t="s">
        <v>514</v>
      </c>
      <c r="C240">
        <v>4</v>
      </c>
      <c r="D240" t="s">
        <v>7</v>
      </c>
      <c r="E240">
        <f t="shared" si="3"/>
        <v>75000</v>
      </c>
      <c r="F240">
        <v>300000</v>
      </c>
      <c r="G240" t="s">
        <v>69</v>
      </c>
      <c r="H240" t="s">
        <v>1115</v>
      </c>
      <c r="I240" s="193" t="s">
        <v>907</v>
      </c>
      <c r="J240" s="193" t="s">
        <v>902</v>
      </c>
      <c r="K240" s="193" t="s">
        <v>688</v>
      </c>
    </row>
    <row r="241" spans="1:11" x14ac:dyDescent="0.3">
      <c r="A241" t="s">
        <v>515</v>
      </c>
      <c r="B241" t="s">
        <v>516</v>
      </c>
      <c r="C241">
        <v>1</v>
      </c>
      <c r="D241" t="s">
        <v>62</v>
      </c>
      <c r="E241">
        <f t="shared" si="3"/>
        <v>90000</v>
      </c>
      <c r="F241">
        <v>90000</v>
      </c>
      <c r="G241" t="s">
        <v>69</v>
      </c>
      <c r="H241" t="s">
        <v>1115</v>
      </c>
      <c r="I241" s="193" t="s">
        <v>907</v>
      </c>
      <c r="J241" s="193" t="s">
        <v>902</v>
      </c>
      <c r="K241" s="193" t="s">
        <v>688</v>
      </c>
    </row>
    <row r="242" spans="1:11" x14ac:dyDescent="0.3">
      <c r="A242" t="s">
        <v>517</v>
      </c>
      <c r="B242" t="s">
        <v>518</v>
      </c>
      <c r="C242">
        <v>2</v>
      </c>
      <c r="D242" t="s">
        <v>62</v>
      </c>
      <c r="E242">
        <f t="shared" si="3"/>
        <v>160000</v>
      </c>
      <c r="F242">
        <v>320000</v>
      </c>
      <c r="G242" t="s">
        <v>69</v>
      </c>
      <c r="H242" t="s">
        <v>1116</v>
      </c>
      <c r="I242" s="193" t="s">
        <v>907</v>
      </c>
      <c r="J242" s="193" t="s">
        <v>902</v>
      </c>
      <c r="K242" s="193" t="s">
        <v>688</v>
      </c>
    </row>
    <row r="243" spans="1:11" x14ac:dyDescent="0.3">
      <c r="A243" t="s">
        <v>519</v>
      </c>
      <c r="B243" t="s">
        <v>520</v>
      </c>
      <c r="C243">
        <v>4</v>
      </c>
      <c r="D243" t="s">
        <v>62</v>
      </c>
      <c r="E243">
        <f t="shared" si="3"/>
        <v>32500</v>
      </c>
      <c r="F243">
        <v>130000</v>
      </c>
      <c r="G243" t="s">
        <v>69</v>
      </c>
      <c r="H243" t="s">
        <v>1116</v>
      </c>
      <c r="I243" s="193" t="s">
        <v>907</v>
      </c>
      <c r="J243" s="193" t="s">
        <v>902</v>
      </c>
      <c r="K243" s="193" t="s">
        <v>688</v>
      </c>
    </row>
    <row r="244" spans="1:11" x14ac:dyDescent="0.3">
      <c r="A244" t="s">
        <v>521</v>
      </c>
      <c r="B244" t="s">
        <v>522</v>
      </c>
      <c r="C244">
        <v>2</v>
      </c>
      <c r="D244" t="s">
        <v>62</v>
      </c>
      <c r="E244">
        <f t="shared" si="3"/>
        <v>25000</v>
      </c>
      <c r="F244">
        <v>50000</v>
      </c>
      <c r="G244" t="s">
        <v>69</v>
      </c>
      <c r="H244" t="s">
        <v>1116</v>
      </c>
      <c r="I244" s="193" t="s">
        <v>907</v>
      </c>
      <c r="J244" s="193" t="s">
        <v>902</v>
      </c>
      <c r="K244" s="193" t="s">
        <v>688</v>
      </c>
    </row>
    <row r="245" spans="1:11" x14ac:dyDescent="0.3">
      <c r="A245" t="s">
        <v>523</v>
      </c>
      <c r="B245" t="s">
        <v>524</v>
      </c>
      <c r="C245">
        <v>150</v>
      </c>
      <c r="D245" t="s">
        <v>62</v>
      </c>
      <c r="E245">
        <f t="shared" si="3"/>
        <v>10000</v>
      </c>
      <c r="F245">
        <v>1500000</v>
      </c>
      <c r="G245" t="s">
        <v>74</v>
      </c>
      <c r="H245" t="s">
        <v>1117</v>
      </c>
      <c r="I245" s="193" t="s">
        <v>907</v>
      </c>
      <c r="J245" s="193" t="s">
        <v>902</v>
      </c>
      <c r="K245" s="193" t="s">
        <v>688</v>
      </c>
    </row>
    <row r="246" spans="1:11" x14ac:dyDescent="0.3">
      <c r="A246" t="s">
        <v>525</v>
      </c>
      <c r="B246" t="s">
        <v>526</v>
      </c>
      <c r="C246">
        <v>39</v>
      </c>
      <c r="D246" t="s">
        <v>62</v>
      </c>
      <c r="E246">
        <f t="shared" si="3"/>
        <v>150000</v>
      </c>
      <c r="F246">
        <v>5850000</v>
      </c>
      <c r="G246" t="s">
        <v>77</v>
      </c>
      <c r="H246" t="s">
        <v>1118</v>
      </c>
      <c r="I246" s="193" t="s">
        <v>911</v>
      </c>
      <c r="J246" s="193" t="s">
        <v>902</v>
      </c>
      <c r="K246" s="193" t="s">
        <v>688</v>
      </c>
    </row>
    <row r="247" spans="1:11" x14ac:dyDescent="0.3">
      <c r="A247" t="s">
        <v>527</v>
      </c>
      <c r="B247" t="s">
        <v>528</v>
      </c>
      <c r="C247">
        <v>26</v>
      </c>
      <c r="D247" t="s">
        <v>62</v>
      </c>
      <c r="E247">
        <f t="shared" si="3"/>
        <v>25000</v>
      </c>
      <c r="F247">
        <v>650000</v>
      </c>
      <c r="G247" t="s">
        <v>77</v>
      </c>
      <c r="H247" t="s">
        <v>1118</v>
      </c>
      <c r="I247" s="193" t="s">
        <v>911</v>
      </c>
      <c r="J247" s="193" t="s">
        <v>902</v>
      </c>
      <c r="K247" s="193" t="s">
        <v>688</v>
      </c>
    </row>
    <row r="248" spans="1:11" x14ac:dyDescent="0.3">
      <c r="A248" t="s">
        <v>529</v>
      </c>
      <c r="B248" t="s">
        <v>530</v>
      </c>
      <c r="C248">
        <v>6</v>
      </c>
      <c r="D248" t="s">
        <v>62</v>
      </c>
      <c r="E248">
        <f t="shared" si="3"/>
        <v>150000</v>
      </c>
      <c r="F248">
        <v>900000</v>
      </c>
      <c r="G248" t="s">
        <v>77</v>
      </c>
      <c r="H248" t="s">
        <v>1118</v>
      </c>
      <c r="I248" s="193" t="s">
        <v>911</v>
      </c>
      <c r="J248" s="193" t="s">
        <v>902</v>
      </c>
      <c r="K248" s="193" t="s">
        <v>688</v>
      </c>
    </row>
    <row r="249" spans="1:11" x14ac:dyDescent="0.3">
      <c r="A249" t="s">
        <v>531</v>
      </c>
      <c r="B249" t="s">
        <v>532</v>
      </c>
      <c r="C249">
        <v>4</v>
      </c>
      <c r="D249" t="s">
        <v>62</v>
      </c>
      <c r="E249">
        <f t="shared" si="3"/>
        <v>25000</v>
      </c>
      <c r="F249">
        <v>100000</v>
      </c>
      <c r="G249" t="s">
        <v>77</v>
      </c>
      <c r="H249" t="s">
        <v>1118</v>
      </c>
      <c r="I249" s="193" t="s">
        <v>911</v>
      </c>
      <c r="J249" s="193" t="s">
        <v>902</v>
      </c>
      <c r="K249" s="193" t="s">
        <v>688</v>
      </c>
    </row>
    <row r="250" spans="1:11" x14ac:dyDescent="0.3">
      <c r="A250" t="s">
        <v>533</v>
      </c>
      <c r="B250" t="s">
        <v>534</v>
      </c>
      <c r="C250">
        <v>4</v>
      </c>
      <c r="D250" t="s">
        <v>535</v>
      </c>
      <c r="E250">
        <f t="shared" si="3"/>
        <v>125000</v>
      </c>
      <c r="F250">
        <v>500000</v>
      </c>
      <c r="G250" t="s">
        <v>77</v>
      </c>
      <c r="H250" t="s">
        <v>1120</v>
      </c>
      <c r="I250" s="193" t="s">
        <v>911</v>
      </c>
      <c r="J250" s="193" t="s">
        <v>902</v>
      </c>
      <c r="K250" s="193" t="s">
        <v>688</v>
      </c>
    </row>
    <row r="251" spans="1:11" x14ac:dyDescent="0.3">
      <c r="A251" t="s">
        <v>536</v>
      </c>
      <c r="B251" t="s">
        <v>537</v>
      </c>
      <c r="C251">
        <v>10</v>
      </c>
      <c r="D251" t="s">
        <v>62</v>
      </c>
      <c r="E251">
        <f t="shared" si="3"/>
        <v>34000</v>
      </c>
      <c r="F251">
        <v>340000</v>
      </c>
      <c r="G251" t="s">
        <v>77</v>
      </c>
      <c r="H251" t="s">
        <v>1120</v>
      </c>
      <c r="I251" s="193" t="s">
        <v>911</v>
      </c>
      <c r="J251" s="193" t="s">
        <v>902</v>
      </c>
      <c r="K251" s="193" t="s">
        <v>688</v>
      </c>
    </row>
    <row r="252" spans="1:11" x14ac:dyDescent="0.3">
      <c r="A252" t="s">
        <v>538</v>
      </c>
      <c r="B252" t="s">
        <v>539</v>
      </c>
      <c r="C252">
        <v>10</v>
      </c>
      <c r="D252" t="s">
        <v>62</v>
      </c>
      <c r="E252">
        <f t="shared" si="3"/>
        <v>15000</v>
      </c>
      <c r="F252">
        <v>150000</v>
      </c>
      <c r="G252" t="s">
        <v>77</v>
      </c>
      <c r="H252" t="s">
        <v>1120</v>
      </c>
      <c r="I252" s="193" t="s">
        <v>911</v>
      </c>
      <c r="J252" s="193" t="s">
        <v>902</v>
      </c>
      <c r="K252" s="193" t="s">
        <v>688</v>
      </c>
    </row>
    <row r="253" spans="1:11" x14ac:dyDescent="0.3">
      <c r="A253" t="s">
        <v>540</v>
      </c>
      <c r="B253" t="s">
        <v>541</v>
      </c>
      <c r="C253">
        <v>1</v>
      </c>
      <c r="D253" t="s">
        <v>62</v>
      </c>
      <c r="E253">
        <f t="shared" si="3"/>
        <v>10000</v>
      </c>
      <c r="F253">
        <v>10000</v>
      </c>
      <c r="G253" t="s">
        <v>77</v>
      </c>
      <c r="H253" t="s">
        <v>1120</v>
      </c>
      <c r="I253" s="193" t="s">
        <v>911</v>
      </c>
      <c r="J253" s="193" t="s">
        <v>902</v>
      </c>
      <c r="K253" s="193" t="s">
        <v>688</v>
      </c>
    </row>
    <row r="254" spans="1:11" x14ac:dyDescent="0.3">
      <c r="A254" t="s">
        <v>542</v>
      </c>
      <c r="B254" t="s">
        <v>543</v>
      </c>
      <c r="C254">
        <v>7</v>
      </c>
      <c r="D254" t="s">
        <v>62</v>
      </c>
      <c r="E254">
        <f t="shared" si="3"/>
        <v>80000</v>
      </c>
      <c r="F254">
        <v>560000</v>
      </c>
      <c r="G254" t="s">
        <v>69</v>
      </c>
      <c r="H254" t="s">
        <v>1121</v>
      </c>
      <c r="I254" s="193" t="s">
        <v>911</v>
      </c>
      <c r="J254" s="193" t="s">
        <v>902</v>
      </c>
      <c r="K254" s="193" t="s">
        <v>688</v>
      </c>
    </row>
    <row r="255" spans="1:11" x14ac:dyDescent="0.3">
      <c r="A255" t="s">
        <v>544</v>
      </c>
      <c r="B255" t="s">
        <v>545</v>
      </c>
      <c r="C255">
        <v>2</v>
      </c>
      <c r="D255" t="s">
        <v>62</v>
      </c>
      <c r="E255">
        <f t="shared" si="3"/>
        <v>285000</v>
      </c>
      <c r="F255">
        <v>570000</v>
      </c>
      <c r="G255" t="s">
        <v>69</v>
      </c>
      <c r="H255" t="s">
        <v>1124</v>
      </c>
      <c r="I255" s="193" t="s">
        <v>920</v>
      </c>
      <c r="J255" s="193" t="s">
        <v>913</v>
      </c>
      <c r="K255" s="193" t="s">
        <v>688</v>
      </c>
    </row>
    <row r="256" spans="1:11" x14ac:dyDescent="0.3">
      <c r="A256" t="s">
        <v>546</v>
      </c>
      <c r="B256" t="s">
        <v>547</v>
      </c>
      <c r="C256">
        <v>1</v>
      </c>
      <c r="D256" t="s">
        <v>166</v>
      </c>
      <c r="E256">
        <f t="shared" si="3"/>
        <v>430000</v>
      </c>
      <c r="F256">
        <v>430000</v>
      </c>
      <c r="G256" t="s">
        <v>69</v>
      </c>
      <c r="H256" t="s">
        <v>1124</v>
      </c>
      <c r="I256" s="193" t="s">
        <v>920</v>
      </c>
      <c r="J256" s="193" t="s">
        <v>913</v>
      </c>
      <c r="K256" s="193" t="s">
        <v>688</v>
      </c>
    </row>
    <row r="257" spans="1:11" x14ac:dyDescent="0.3">
      <c r="A257" t="s">
        <v>548</v>
      </c>
      <c r="B257" t="s">
        <v>549</v>
      </c>
      <c r="C257">
        <v>6</v>
      </c>
      <c r="D257" t="s">
        <v>62</v>
      </c>
      <c r="E257">
        <f t="shared" si="3"/>
        <v>25000</v>
      </c>
      <c r="F257">
        <v>150000</v>
      </c>
      <c r="G257" t="s">
        <v>69</v>
      </c>
      <c r="H257" t="s">
        <v>1125</v>
      </c>
      <c r="I257" s="193" t="s">
        <v>924</v>
      </c>
      <c r="J257" s="193" t="s">
        <v>921</v>
      </c>
      <c r="K257" s="193" t="s">
        <v>688</v>
      </c>
    </row>
    <row r="258" spans="1:11" x14ac:dyDescent="0.3">
      <c r="A258" t="s">
        <v>550</v>
      </c>
      <c r="B258" t="s">
        <v>551</v>
      </c>
      <c r="C258">
        <v>10</v>
      </c>
      <c r="D258" t="s">
        <v>552</v>
      </c>
      <c r="E258">
        <f t="shared" ref="E258:E306" si="4">F258/C258</f>
        <v>2000</v>
      </c>
      <c r="F258">
        <v>20000</v>
      </c>
      <c r="G258" t="s">
        <v>69</v>
      </c>
      <c r="H258" t="s">
        <v>1125</v>
      </c>
      <c r="I258" s="193" t="s">
        <v>924</v>
      </c>
      <c r="J258" s="193" t="s">
        <v>921</v>
      </c>
      <c r="K258" s="193" t="s">
        <v>688</v>
      </c>
    </row>
    <row r="259" spans="1:11" x14ac:dyDescent="0.3">
      <c r="A259" t="s">
        <v>553</v>
      </c>
      <c r="B259" t="s">
        <v>554</v>
      </c>
      <c r="C259">
        <v>30</v>
      </c>
      <c r="D259" t="s">
        <v>62</v>
      </c>
      <c r="E259">
        <f t="shared" si="4"/>
        <v>2000</v>
      </c>
      <c r="F259">
        <v>60000</v>
      </c>
      <c r="G259" t="s">
        <v>69</v>
      </c>
      <c r="H259" t="s">
        <v>1125</v>
      </c>
      <c r="I259" s="193" t="s">
        <v>924</v>
      </c>
      <c r="J259" s="193" t="s">
        <v>921</v>
      </c>
      <c r="K259" s="193" t="s">
        <v>688</v>
      </c>
    </row>
    <row r="260" spans="1:11" x14ac:dyDescent="0.3">
      <c r="A260" t="s">
        <v>555</v>
      </c>
      <c r="B260" t="s">
        <v>556</v>
      </c>
      <c r="C260">
        <v>2</v>
      </c>
      <c r="D260" t="s">
        <v>62</v>
      </c>
      <c r="E260">
        <f t="shared" si="4"/>
        <v>3500</v>
      </c>
      <c r="F260">
        <v>7000</v>
      </c>
      <c r="G260" t="s">
        <v>69</v>
      </c>
      <c r="H260" t="s">
        <v>1125</v>
      </c>
      <c r="I260" s="193" t="s">
        <v>924</v>
      </c>
      <c r="J260" s="193" t="s">
        <v>921</v>
      </c>
      <c r="K260" s="193" t="s">
        <v>688</v>
      </c>
    </row>
    <row r="261" spans="1:11" x14ac:dyDescent="0.3">
      <c r="A261" t="s">
        <v>557</v>
      </c>
      <c r="B261" t="s">
        <v>558</v>
      </c>
      <c r="C261">
        <v>180</v>
      </c>
      <c r="D261" t="s">
        <v>59</v>
      </c>
      <c r="E261">
        <f t="shared" si="4"/>
        <v>350</v>
      </c>
      <c r="F261">
        <v>63000</v>
      </c>
      <c r="G261" t="s">
        <v>69</v>
      </c>
      <c r="H261" t="s">
        <v>1125</v>
      </c>
      <c r="I261" s="193" t="s">
        <v>924</v>
      </c>
      <c r="J261" s="193" t="s">
        <v>921</v>
      </c>
      <c r="K261" s="193" t="s">
        <v>688</v>
      </c>
    </row>
    <row r="262" spans="1:11" x14ac:dyDescent="0.3">
      <c r="A262" t="s">
        <v>559</v>
      </c>
      <c r="B262" t="s">
        <v>560</v>
      </c>
      <c r="C262">
        <v>1</v>
      </c>
      <c r="D262" t="s">
        <v>13</v>
      </c>
      <c r="E262">
        <f t="shared" si="4"/>
        <v>1000000</v>
      </c>
      <c r="F262">
        <v>1000000</v>
      </c>
      <c r="G262" t="s">
        <v>69</v>
      </c>
      <c r="H262" t="s">
        <v>1126</v>
      </c>
      <c r="I262" s="193" t="s">
        <v>924</v>
      </c>
      <c r="J262" s="193" t="s">
        <v>921</v>
      </c>
      <c r="K262" s="193" t="s">
        <v>688</v>
      </c>
    </row>
    <row r="263" spans="1:11" x14ac:dyDescent="0.3">
      <c r="A263" t="s">
        <v>561</v>
      </c>
      <c r="B263" t="s">
        <v>562</v>
      </c>
      <c r="C263">
        <v>50</v>
      </c>
      <c r="D263" t="s">
        <v>157</v>
      </c>
      <c r="E263">
        <f t="shared" si="4"/>
        <v>10000</v>
      </c>
      <c r="F263">
        <v>500000</v>
      </c>
      <c r="G263" t="s">
        <v>69</v>
      </c>
      <c r="H263" t="s">
        <v>1126</v>
      </c>
      <c r="I263" s="193" t="s">
        <v>924</v>
      </c>
      <c r="J263" s="193" t="s">
        <v>921</v>
      </c>
      <c r="K263" s="193" t="s">
        <v>688</v>
      </c>
    </row>
    <row r="264" spans="1:11" x14ac:dyDescent="0.3">
      <c r="A264" t="s">
        <v>563</v>
      </c>
      <c r="B264" t="s">
        <v>564</v>
      </c>
      <c r="C264">
        <v>1</v>
      </c>
      <c r="D264" t="s">
        <v>7</v>
      </c>
      <c r="E264">
        <f t="shared" si="4"/>
        <v>3000000</v>
      </c>
      <c r="F264">
        <v>3000000</v>
      </c>
      <c r="G264" t="s">
        <v>77</v>
      </c>
      <c r="H264" t="s">
        <v>1127</v>
      </c>
      <c r="I264" s="193" t="s">
        <v>924</v>
      </c>
      <c r="J264" s="193" t="s">
        <v>921</v>
      </c>
      <c r="K264" s="193" t="s">
        <v>688</v>
      </c>
    </row>
    <row r="265" spans="1:11" x14ac:dyDescent="0.3">
      <c r="A265" t="s">
        <v>565</v>
      </c>
      <c r="B265" t="s">
        <v>566</v>
      </c>
      <c r="C265">
        <v>1</v>
      </c>
      <c r="D265" t="s">
        <v>7</v>
      </c>
      <c r="E265">
        <f t="shared" si="4"/>
        <v>4000000</v>
      </c>
      <c r="F265">
        <v>4000000</v>
      </c>
      <c r="G265" t="s">
        <v>178</v>
      </c>
      <c r="H265" t="s">
        <v>1129</v>
      </c>
      <c r="I265" s="193" t="s">
        <v>935</v>
      </c>
      <c r="J265" s="193" t="s">
        <v>934</v>
      </c>
      <c r="K265" s="193" t="s">
        <v>689</v>
      </c>
    </row>
    <row r="266" spans="1:11" x14ac:dyDescent="0.3">
      <c r="A266" t="s">
        <v>567</v>
      </c>
      <c r="B266" t="s">
        <v>568</v>
      </c>
      <c r="C266">
        <v>2</v>
      </c>
      <c r="D266" t="s">
        <v>569</v>
      </c>
      <c r="E266">
        <f t="shared" si="4"/>
        <v>3000000</v>
      </c>
      <c r="F266">
        <v>6000000</v>
      </c>
      <c r="G266" t="s">
        <v>178</v>
      </c>
      <c r="H266" t="s">
        <v>1130</v>
      </c>
      <c r="I266" s="193" t="s">
        <v>935</v>
      </c>
      <c r="J266" s="193" t="s">
        <v>934</v>
      </c>
      <c r="K266" s="193" t="s">
        <v>689</v>
      </c>
    </row>
    <row r="267" spans="1:11" x14ac:dyDescent="0.3">
      <c r="A267" t="s">
        <v>570</v>
      </c>
      <c r="B267" t="s">
        <v>571</v>
      </c>
      <c r="C267">
        <v>7</v>
      </c>
      <c r="D267" t="s">
        <v>572</v>
      </c>
      <c r="E267">
        <f t="shared" si="4"/>
        <v>115000</v>
      </c>
      <c r="F267">
        <v>805000</v>
      </c>
      <c r="G267" t="s">
        <v>178</v>
      </c>
      <c r="H267" t="s">
        <v>1131</v>
      </c>
      <c r="I267" s="193" t="s">
        <v>937</v>
      </c>
      <c r="J267" s="193" t="s">
        <v>934</v>
      </c>
      <c r="K267" s="193" t="s">
        <v>689</v>
      </c>
    </row>
    <row r="268" spans="1:11" x14ac:dyDescent="0.3">
      <c r="A268" t="s">
        <v>573</v>
      </c>
      <c r="B268" t="s">
        <v>574</v>
      </c>
      <c r="C268">
        <v>10</v>
      </c>
      <c r="D268" t="s">
        <v>575</v>
      </c>
      <c r="E268">
        <f t="shared" si="4"/>
        <v>30000</v>
      </c>
      <c r="F268">
        <v>300000</v>
      </c>
      <c r="G268" t="s">
        <v>178</v>
      </c>
      <c r="H268" t="s">
        <v>1131</v>
      </c>
      <c r="I268" s="193" t="s">
        <v>937</v>
      </c>
      <c r="J268" s="193" t="s">
        <v>934</v>
      </c>
      <c r="K268" s="193" t="s">
        <v>689</v>
      </c>
    </row>
    <row r="269" spans="1:11" x14ac:dyDescent="0.3">
      <c r="A269" t="s">
        <v>576</v>
      </c>
      <c r="B269" t="s">
        <v>577</v>
      </c>
      <c r="C269">
        <v>2</v>
      </c>
      <c r="D269" t="s">
        <v>575</v>
      </c>
      <c r="E269">
        <f t="shared" si="4"/>
        <v>50000</v>
      </c>
      <c r="F269">
        <v>100000</v>
      </c>
      <c r="G269" t="s">
        <v>178</v>
      </c>
      <c r="H269" t="s">
        <v>1131</v>
      </c>
      <c r="I269" s="193" t="s">
        <v>937</v>
      </c>
      <c r="J269" s="193" t="s">
        <v>934</v>
      </c>
      <c r="K269" s="193" t="s">
        <v>689</v>
      </c>
    </row>
    <row r="270" spans="1:11" x14ac:dyDescent="0.3">
      <c r="A270" t="s">
        <v>578</v>
      </c>
      <c r="B270" t="s">
        <v>579</v>
      </c>
      <c r="C270">
        <v>2</v>
      </c>
      <c r="D270" t="s">
        <v>580</v>
      </c>
      <c r="E270">
        <f t="shared" si="4"/>
        <v>70000</v>
      </c>
      <c r="F270">
        <v>140000</v>
      </c>
      <c r="G270" t="s">
        <v>178</v>
      </c>
      <c r="H270" t="s">
        <v>1131</v>
      </c>
      <c r="I270" s="193" t="s">
        <v>937</v>
      </c>
      <c r="J270" s="193" t="s">
        <v>934</v>
      </c>
      <c r="K270" s="193" t="s">
        <v>689</v>
      </c>
    </row>
    <row r="271" spans="1:11" x14ac:dyDescent="0.3">
      <c r="A271" t="s">
        <v>581</v>
      </c>
      <c r="B271" t="s">
        <v>582</v>
      </c>
      <c r="C271">
        <v>4</v>
      </c>
      <c r="D271" t="s">
        <v>575</v>
      </c>
      <c r="E271">
        <f t="shared" si="4"/>
        <v>20000</v>
      </c>
      <c r="F271">
        <v>80000</v>
      </c>
      <c r="G271" t="s">
        <v>178</v>
      </c>
      <c r="H271" t="s">
        <v>1131</v>
      </c>
      <c r="I271" s="193" t="s">
        <v>937</v>
      </c>
      <c r="J271" s="193" t="s">
        <v>934</v>
      </c>
      <c r="K271" s="193" t="s">
        <v>689</v>
      </c>
    </row>
    <row r="272" spans="1:11" x14ac:dyDescent="0.3">
      <c r="A272" t="s">
        <v>583</v>
      </c>
      <c r="B272" t="s">
        <v>584</v>
      </c>
      <c r="C272">
        <v>4</v>
      </c>
      <c r="D272" t="s">
        <v>585</v>
      </c>
      <c r="E272">
        <f t="shared" si="4"/>
        <v>100000</v>
      </c>
      <c r="F272">
        <v>400000</v>
      </c>
      <c r="G272" t="s">
        <v>178</v>
      </c>
      <c r="H272" t="s">
        <v>1131</v>
      </c>
      <c r="I272" s="193" t="s">
        <v>937</v>
      </c>
      <c r="J272" s="193" t="s">
        <v>934</v>
      </c>
      <c r="K272" s="193" t="s">
        <v>689</v>
      </c>
    </row>
    <row r="273" spans="1:11" x14ac:dyDescent="0.3">
      <c r="A273" t="s">
        <v>586</v>
      </c>
      <c r="B273" t="s">
        <v>587</v>
      </c>
      <c r="C273">
        <v>32</v>
      </c>
      <c r="D273" t="s">
        <v>588</v>
      </c>
      <c r="E273">
        <f t="shared" si="4"/>
        <v>55000</v>
      </c>
      <c r="F273">
        <v>1760000</v>
      </c>
      <c r="G273" t="s">
        <v>178</v>
      </c>
      <c r="H273" t="s">
        <v>1131</v>
      </c>
      <c r="I273" s="193" t="s">
        <v>937</v>
      </c>
      <c r="J273" s="193" t="s">
        <v>934</v>
      </c>
      <c r="K273" s="193" t="s">
        <v>689</v>
      </c>
    </row>
    <row r="274" spans="1:11" x14ac:dyDescent="0.3">
      <c r="A274" t="s">
        <v>589</v>
      </c>
      <c r="B274" t="s">
        <v>590</v>
      </c>
      <c r="C274">
        <v>10</v>
      </c>
      <c r="D274" t="s">
        <v>591</v>
      </c>
      <c r="E274">
        <f t="shared" si="4"/>
        <v>45000</v>
      </c>
      <c r="F274">
        <v>450000</v>
      </c>
      <c r="G274" t="s">
        <v>178</v>
      </c>
      <c r="H274" t="s">
        <v>1131</v>
      </c>
      <c r="I274" s="193" t="s">
        <v>937</v>
      </c>
      <c r="J274" s="193" t="s">
        <v>934</v>
      </c>
      <c r="K274" s="193" t="s">
        <v>689</v>
      </c>
    </row>
    <row r="275" spans="1:11" x14ac:dyDescent="0.3">
      <c r="A275" t="s">
        <v>592</v>
      </c>
      <c r="B275" t="s">
        <v>593</v>
      </c>
      <c r="C275">
        <v>2</v>
      </c>
      <c r="D275" t="s">
        <v>181</v>
      </c>
      <c r="E275">
        <f t="shared" si="4"/>
        <v>120000</v>
      </c>
      <c r="F275">
        <v>240000</v>
      </c>
      <c r="G275" t="s">
        <v>178</v>
      </c>
      <c r="H275" t="s">
        <v>1131</v>
      </c>
      <c r="I275" s="193" t="s">
        <v>937</v>
      </c>
      <c r="J275" s="193" t="s">
        <v>934</v>
      </c>
      <c r="K275" s="193" t="s">
        <v>689</v>
      </c>
    </row>
    <row r="276" spans="1:11" x14ac:dyDescent="0.3">
      <c r="A276" t="s">
        <v>594</v>
      </c>
      <c r="B276" t="s">
        <v>595</v>
      </c>
      <c r="C276">
        <v>14</v>
      </c>
      <c r="D276" t="s">
        <v>441</v>
      </c>
      <c r="E276">
        <f t="shared" si="4"/>
        <v>30000</v>
      </c>
      <c r="F276">
        <v>420000</v>
      </c>
      <c r="G276" t="s">
        <v>178</v>
      </c>
      <c r="H276" t="s">
        <v>1131</v>
      </c>
      <c r="I276" s="193" t="s">
        <v>937</v>
      </c>
      <c r="J276" s="193" t="s">
        <v>934</v>
      </c>
      <c r="K276" s="193" t="s">
        <v>689</v>
      </c>
    </row>
    <row r="277" spans="1:11" x14ac:dyDescent="0.3">
      <c r="A277" t="s">
        <v>596</v>
      </c>
      <c r="B277" t="s">
        <v>597</v>
      </c>
      <c r="C277">
        <v>40</v>
      </c>
      <c r="D277" t="s">
        <v>598</v>
      </c>
      <c r="E277">
        <f t="shared" si="4"/>
        <v>12000</v>
      </c>
      <c r="F277">
        <v>480000</v>
      </c>
      <c r="G277" t="s">
        <v>178</v>
      </c>
      <c r="H277" t="s">
        <v>1131</v>
      </c>
      <c r="I277" s="193" t="s">
        <v>937</v>
      </c>
      <c r="J277" s="193" t="s">
        <v>934</v>
      </c>
      <c r="K277" s="193" t="s">
        <v>689</v>
      </c>
    </row>
    <row r="278" spans="1:11" x14ac:dyDescent="0.3">
      <c r="A278" t="s">
        <v>599</v>
      </c>
      <c r="B278" t="s">
        <v>600</v>
      </c>
      <c r="C278">
        <v>3</v>
      </c>
      <c r="D278" t="s">
        <v>572</v>
      </c>
      <c r="E278">
        <f t="shared" si="4"/>
        <v>25000</v>
      </c>
      <c r="F278">
        <v>75000</v>
      </c>
      <c r="G278" t="s">
        <v>178</v>
      </c>
      <c r="H278" t="s">
        <v>1131</v>
      </c>
      <c r="I278" s="193" t="s">
        <v>937</v>
      </c>
      <c r="J278" s="193" t="s">
        <v>934</v>
      </c>
      <c r="K278" s="193" t="s">
        <v>689</v>
      </c>
    </row>
    <row r="279" spans="1:11" x14ac:dyDescent="0.3">
      <c r="A279" t="s">
        <v>601</v>
      </c>
      <c r="B279" t="s">
        <v>602</v>
      </c>
      <c r="C279">
        <v>1</v>
      </c>
      <c r="D279" t="s">
        <v>603</v>
      </c>
      <c r="E279">
        <f t="shared" si="4"/>
        <v>350000</v>
      </c>
      <c r="F279">
        <v>350000</v>
      </c>
      <c r="G279" t="s">
        <v>178</v>
      </c>
      <c r="H279" t="s">
        <v>1131</v>
      </c>
      <c r="I279" s="193" t="s">
        <v>937</v>
      </c>
      <c r="J279" s="193" t="s">
        <v>934</v>
      </c>
      <c r="K279" s="193" t="s">
        <v>689</v>
      </c>
    </row>
    <row r="280" spans="1:11" x14ac:dyDescent="0.3">
      <c r="A280" t="s">
        <v>604</v>
      </c>
      <c r="B280" t="s">
        <v>605</v>
      </c>
      <c r="C280">
        <v>20</v>
      </c>
      <c r="D280" t="s">
        <v>606</v>
      </c>
      <c r="E280">
        <f t="shared" si="4"/>
        <v>20000</v>
      </c>
      <c r="F280">
        <v>400000</v>
      </c>
      <c r="G280" t="s">
        <v>178</v>
      </c>
      <c r="H280" t="s">
        <v>1131</v>
      </c>
      <c r="I280" s="193" t="s">
        <v>937</v>
      </c>
      <c r="J280" s="193" t="s">
        <v>934</v>
      </c>
      <c r="K280" s="193" t="s">
        <v>689</v>
      </c>
    </row>
    <row r="281" spans="1:11" x14ac:dyDescent="0.3">
      <c r="A281" t="s">
        <v>607</v>
      </c>
      <c r="B281" t="s">
        <v>608</v>
      </c>
      <c r="C281">
        <v>1</v>
      </c>
      <c r="D281" t="s">
        <v>7</v>
      </c>
      <c r="E281">
        <f t="shared" si="4"/>
        <v>1110000</v>
      </c>
      <c r="F281">
        <v>1110000</v>
      </c>
      <c r="G281" t="s">
        <v>178</v>
      </c>
      <c r="H281" t="s">
        <v>1132</v>
      </c>
      <c r="I281" s="193" t="s">
        <v>939</v>
      </c>
      <c r="J281" s="193" t="s">
        <v>934</v>
      </c>
      <c r="K281" s="193" t="s">
        <v>689</v>
      </c>
    </row>
    <row r="282" spans="1:11" x14ac:dyDescent="0.3">
      <c r="A282" t="s">
        <v>609</v>
      </c>
      <c r="B282" t="s">
        <v>610</v>
      </c>
      <c r="C282">
        <v>1</v>
      </c>
      <c r="D282" t="s">
        <v>7</v>
      </c>
      <c r="E282">
        <f t="shared" si="4"/>
        <v>2990000</v>
      </c>
      <c r="F282">
        <v>2990000</v>
      </c>
      <c r="G282" t="s">
        <v>178</v>
      </c>
      <c r="H282" t="s">
        <v>1132</v>
      </c>
      <c r="I282" s="193" t="s">
        <v>939</v>
      </c>
      <c r="J282" s="193" t="s">
        <v>934</v>
      </c>
      <c r="K282" s="193" t="s">
        <v>689</v>
      </c>
    </row>
    <row r="283" spans="1:11" x14ac:dyDescent="0.3">
      <c r="A283" t="s">
        <v>611</v>
      </c>
      <c r="B283" t="s">
        <v>612</v>
      </c>
      <c r="C283">
        <v>4</v>
      </c>
      <c r="D283" t="s">
        <v>157</v>
      </c>
      <c r="E283">
        <f t="shared" si="4"/>
        <v>1000000</v>
      </c>
      <c r="F283">
        <v>4000000</v>
      </c>
      <c r="G283" t="s">
        <v>178</v>
      </c>
      <c r="H283" t="s">
        <v>1132</v>
      </c>
      <c r="I283" s="193" t="s">
        <v>939</v>
      </c>
      <c r="J283" s="193" t="s">
        <v>934</v>
      </c>
      <c r="K283" s="193" t="s">
        <v>689</v>
      </c>
    </row>
    <row r="284" spans="1:11" x14ac:dyDescent="0.3">
      <c r="A284" t="s">
        <v>613</v>
      </c>
      <c r="B284" t="s">
        <v>614</v>
      </c>
      <c r="C284">
        <v>2</v>
      </c>
      <c r="D284" t="s">
        <v>157</v>
      </c>
      <c r="E284">
        <f t="shared" si="4"/>
        <v>200000</v>
      </c>
      <c r="F284">
        <v>400000</v>
      </c>
      <c r="G284" t="s">
        <v>178</v>
      </c>
      <c r="H284" t="s">
        <v>1132</v>
      </c>
      <c r="I284" s="193" t="s">
        <v>939</v>
      </c>
      <c r="J284" s="193" t="s">
        <v>934</v>
      </c>
      <c r="K284" s="193" t="s">
        <v>689</v>
      </c>
    </row>
    <row r="285" spans="1:11" x14ac:dyDescent="0.3">
      <c r="A285" t="s">
        <v>615</v>
      </c>
      <c r="B285" t="s">
        <v>616</v>
      </c>
      <c r="C285">
        <v>30</v>
      </c>
      <c r="D285" t="s">
        <v>157</v>
      </c>
      <c r="E285">
        <f t="shared" si="4"/>
        <v>50000</v>
      </c>
      <c r="F285">
        <v>1500000</v>
      </c>
      <c r="G285" t="s">
        <v>178</v>
      </c>
      <c r="H285" t="s">
        <v>1132</v>
      </c>
      <c r="I285" s="193" t="s">
        <v>939</v>
      </c>
      <c r="J285" s="193" t="s">
        <v>934</v>
      </c>
      <c r="K285" s="193" t="s">
        <v>689</v>
      </c>
    </row>
    <row r="286" spans="1:11" x14ac:dyDescent="0.3">
      <c r="A286" t="s">
        <v>617</v>
      </c>
      <c r="B286" t="s">
        <v>618</v>
      </c>
      <c r="C286">
        <v>1</v>
      </c>
      <c r="D286" t="s">
        <v>157</v>
      </c>
      <c r="E286">
        <f t="shared" si="4"/>
        <v>2300000</v>
      </c>
      <c r="F286">
        <v>2300000</v>
      </c>
      <c r="G286" t="s">
        <v>178</v>
      </c>
      <c r="H286" t="s">
        <v>1133</v>
      </c>
      <c r="I286" s="193" t="s">
        <v>951</v>
      </c>
      <c r="J286" s="193" t="s">
        <v>949</v>
      </c>
      <c r="K286" s="193" t="s">
        <v>689</v>
      </c>
    </row>
    <row r="287" spans="1:11" x14ac:dyDescent="0.3">
      <c r="A287" t="s">
        <v>619</v>
      </c>
      <c r="B287" t="s">
        <v>620</v>
      </c>
      <c r="C287">
        <v>1</v>
      </c>
      <c r="D287" t="s">
        <v>157</v>
      </c>
      <c r="E287">
        <f t="shared" si="4"/>
        <v>400000</v>
      </c>
      <c r="F287">
        <v>400000</v>
      </c>
      <c r="G287" t="s">
        <v>178</v>
      </c>
      <c r="H287" t="s">
        <v>1133</v>
      </c>
      <c r="I287" s="193" t="s">
        <v>951</v>
      </c>
      <c r="J287" s="193" t="s">
        <v>949</v>
      </c>
      <c r="K287" s="193" t="s">
        <v>689</v>
      </c>
    </row>
    <row r="288" spans="1:11" x14ac:dyDescent="0.3">
      <c r="A288" t="s">
        <v>621</v>
      </c>
      <c r="B288" t="s">
        <v>622</v>
      </c>
      <c r="C288">
        <v>39</v>
      </c>
      <c r="D288" t="s">
        <v>623</v>
      </c>
      <c r="E288">
        <f t="shared" si="4"/>
        <v>95000</v>
      </c>
      <c r="F288">
        <v>3705000</v>
      </c>
      <c r="G288" t="s">
        <v>178</v>
      </c>
      <c r="H288" t="s">
        <v>1133</v>
      </c>
      <c r="I288" s="193" t="s">
        <v>951</v>
      </c>
      <c r="J288" s="193" t="s">
        <v>949</v>
      </c>
      <c r="K288" s="193" t="s">
        <v>689</v>
      </c>
    </row>
    <row r="289" spans="1:11" x14ac:dyDescent="0.3">
      <c r="A289" t="s">
        <v>624</v>
      </c>
      <c r="B289" t="s">
        <v>625</v>
      </c>
      <c r="C289">
        <v>540.39</v>
      </c>
      <c r="D289" t="s">
        <v>626</v>
      </c>
      <c r="E289">
        <f t="shared" si="4"/>
        <v>112099.59473713429</v>
      </c>
      <c r="F289">
        <v>60577500</v>
      </c>
      <c r="G289" t="s">
        <v>178</v>
      </c>
      <c r="H289" t="s">
        <v>1133</v>
      </c>
      <c r="I289" s="193" t="s">
        <v>951</v>
      </c>
      <c r="J289" s="193" t="s">
        <v>949</v>
      </c>
      <c r="K289" s="193" t="s">
        <v>689</v>
      </c>
    </row>
    <row r="290" spans="1:11" x14ac:dyDescent="0.3">
      <c r="A290" t="s">
        <v>627</v>
      </c>
      <c r="B290" t="s">
        <v>628</v>
      </c>
      <c r="C290">
        <v>2</v>
      </c>
      <c r="D290" t="s">
        <v>62</v>
      </c>
      <c r="E290">
        <f t="shared" si="4"/>
        <v>250000</v>
      </c>
      <c r="F290">
        <v>500000</v>
      </c>
      <c r="G290" t="s">
        <v>178</v>
      </c>
      <c r="H290" t="s">
        <v>1133</v>
      </c>
      <c r="I290" s="193" t="s">
        <v>951</v>
      </c>
      <c r="J290" s="193" t="s">
        <v>949</v>
      </c>
      <c r="K290" s="193" t="s">
        <v>689</v>
      </c>
    </row>
    <row r="291" spans="1:11" x14ac:dyDescent="0.3">
      <c r="A291" t="s">
        <v>629</v>
      </c>
      <c r="B291" t="s">
        <v>630</v>
      </c>
      <c r="C291">
        <v>2</v>
      </c>
      <c r="D291" t="s">
        <v>7</v>
      </c>
      <c r="E291">
        <f t="shared" si="4"/>
        <v>500000</v>
      </c>
      <c r="F291">
        <v>1000000</v>
      </c>
      <c r="G291" t="s">
        <v>178</v>
      </c>
      <c r="H291" t="s">
        <v>1133</v>
      </c>
      <c r="I291" s="193" t="s">
        <v>951</v>
      </c>
      <c r="J291" s="193" t="s">
        <v>949</v>
      </c>
      <c r="K291" s="193" t="s">
        <v>689</v>
      </c>
    </row>
    <row r="292" spans="1:11" x14ac:dyDescent="0.3">
      <c r="A292" t="s">
        <v>631</v>
      </c>
      <c r="B292" t="s">
        <v>632</v>
      </c>
      <c r="C292">
        <v>1</v>
      </c>
      <c r="D292" t="s">
        <v>157</v>
      </c>
      <c r="E292">
        <f t="shared" si="4"/>
        <v>500000</v>
      </c>
      <c r="F292">
        <v>500000</v>
      </c>
      <c r="G292" t="s">
        <v>69</v>
      </c>
      <c r="H292" t="s">
        <v>1133</v>
      </c>
      <c r="I292" s="193" t="s">
        <v>951</v>
      </c>
      <c r="J292" s="193" t="s">
        <v>949</v>
      </c>
      <c r="K292" s="193" t="s">
        <v>689</v>
      </c>
    </row>
    <row r="293" spans="1:11" x14ac:dyDescent="0.3">
      <c r="A293" t="s">
        <v>633</v>
      </c>
      <c r="B293" t="s">
        <v>634</v>
      </c>
      <c r="C293">
        <v>2</v>
      </c>
      <c r="D293" t="s">
        <v>157</v>
      </c>
      <c r="E293">
        <f t="shared" si="4"/>
        <v>350000</v>
      </c>
      <c r="F293">
        <v>700000</v>
      </c>
      <c r="G293" t="s">
        <v>69</v>
      </c>
      <c r="H293" t="s">
        <v>1133</v>
      </c>
      <c r="I293" s="193" t="s">
        <v>951</v>
      </c>
      <c r="J293" s="193" t="s">
        <v>949</v>
      </c>
      <c r="K293" s="193" t="s">
        <v>689</v>
      </c>
    </row>
    <row r="294" spans="1:11" x14ac:dyDescent="0.3">
      <c r="A294" t="s">
        <v>635</v>
      </c>
      <c r="B294" t="s">
        <v>636</v>
      </c>
      <c r="C294">
        <v>1</v>
      </c>
      <c r="D294" t="s">
        <v>7</v>
      </c>
      <c r="E294">
        <f t="shared" si="4"/>
        <v>3000000</v>
      </c>
      <c r="F294">
        <v>3000000</v>
      </c>
      <c r="G294" t="s">
        <v>178</v>
      </c>
      <c r="H294" t="s">
        <v>962</v>
      </c>
      <c r="I294" s="193" t="s">
        <v>962</v>
      </c>
      <c r="J294" s="193" t="s">
        <v>962</v>
      </c>
      <c r="K294" s="193" t="s">
        <v>690</v>
      </c>
    </row>
    <row r="295" spans="1:11" x14ac:dyDescent="0.3">
      <c r="A295" t="s">
        <v>637</v>
      </c>
      <c r="B295" t="s">
        <v>638</v>
      </c>
      <c r="C295">
        <v>15</v>
      </c>
      <c r="D295" t="s">
        <v>157</v>
      </c>
      <c r="E295">
        <f t="shared" si="4"/>
        <v>200000</v>
      </c>
      <c r="F295">
        <v>3000000</v>
      </c>
      <c r="G295" t="s">
        <v>178</v>
      </c>
      <c r="H295" t="s">
        <v>1136</v>
      </c>
      <c r="I295" s="193" t="s">
        <v>966</v>
      </c>
      <c r="J295" s="193" t="s">
        <v>966</v>
      </c>
      <c r="K295" s="193" t="s">
        <v>690</v>
      </c>
    </row>
    <row r="296" spans="1:11" x14ac:dyDescent="0.3">
      <c r="A296" t="s">
        <v>639</v>
      </c>
      <c r="B296" t="s">
        <v>640</v>
      </c>
      <c r="C296">
        <v>15</v>
      </c>
      <c r="D296" t="s">
        <v>157</v>
      </c>
      <c r="E296">
        <f t="shared" si="4"/>
        <v>200000</v>
      </c>
      <c r="F296">
        <v>3000000</v>
      </c>
      <c r="G296" t="s">
        <v>178</v>
      </c>
      <c r="H296" t="s">
        <v>1136</v>
      </c>
      <c r="I296" s="193" t="s">
        <v>966</v>
      </c>
      <c r="J296" s="193" t="s">
        <v>966</v>
      </c>
      <c r="K296" s="193" t="s">
        <v>690</v>
      </c>
    </row>
    <row r="297" spans="1:11" x14ac:dyDescent="0.3">
      <c r="A297" t="s">
        <v>641</v>
      </c>
      <c r="B297" t="s">
        <v>642</v>
      </c>
      <c r="C297">
        <v>15</v>
      </c>
      <c r="D297" t="s">
        <v>157</v>
      </c>
      <c r="E297">
        <f t="shared" si="4"/>
        <v>200000</v>
      </c>
      <c r="F297">
        <v>3000000</v>
      </c>
      <c r="G297" t="s">
        <v>178</v>
      </c>
      <c r="H297" t="s">
        <v>1136</v>
      </c>
      <c r="I297" s="193" t="s">
        <v>966</v>
      </c>
      <c r="J297" s="193" t="s">
        <v>966</v>
      </c>
      <c r="K297" s="193" t="s">
        <v>690</v>
      </c>
    </row>
    <row r="298" spans="1:11" x14ac:dyDescent="0.3">
      <c r="A298" t="s">
        <v>643</v>
      </c>
      <c r="B298" t="s">
        <v>644</v>
      </c>
      <c r="C298">
        <v>15</v>
      </c>
      <c r="D298" t="s">
        <v>157</v>
      </c>
      <c r="E298">
        <f t="shared" si="4"/>
        <v>200000</v>
      </c>
      <c r="F298">
        <v>3000000</v>
      </c>
      <c r="G298" t="s">
        <v>178</v>
      </c>
      <c r="H298" t="s">
        <v>1136</v>
      </c>
      <c r="I298" s="193" t="s">
        <v>966</v>
      </c>
      <c r="J298" s="193" t="s">
        <v>966</v>
      </c>
      <c r="K298" s="193" t="s">
        <v>690</v>
      </c>
    </row>
    <row r="299" spans="1:11" x14ac:dyDescent="0.3">
      <c r="A299" t="s">
        <v>645</v>
      </c>
      <c r="B299" t="s">
        <v>646</v>
      </c>
      <c r="C299">
        <v>15</v>
      </c>
      <c r="D299" t="s">
        <v>157</v>
      </c>
      <c r="E299">
        <f t="shared" si="4"/>
        <v>200000</v>
      </c>
      <c r="F299">
        <v>3000000</v>
      </c>
      <c r="G299" t="s">
        <v>178</v>
      </c>
      <c r="H299" t="s">
        <v>1136</v>
      </c>
      <c r="I299" s="193" t="s">
        <v>966</v>
      </c>
      <c r="J299" s="193" t="s">
        <v>966</v>
      </c>
      <c r="K299" s="193" t="s">
        <v>690</v>
      </c>
    </row>
    <row r="300" spans="1:11" x14ac:dyDescent="0.3">
      <c r="A300" t="s">
        <v>647</v>
      </c>
      <c r="B300" t="s">
        <v>648</v>
      </c>
      <c r="C300">
        <v>15</v>
      </c>
      <c r="D300" t="s">
        <v>157</v>
      </c>
      <c r="E300">
        <f t="shared" si="4"/>
        <v>200000</v>
      </c>
      <c r="F300">
        <v>3000000</v>
      </c>
      <c r="G300" t="s">
        <v>178</v>
      </c>
      <c r="H300" t="s">
        <v>1136</v>
      </c>
      <c r="I300" s="193" t="s">
        <v>966</v>
      </c>
      <c r="J300" s="193" t="s">
        <v>966</v>
      </c>
      <c r="K300" s="193" t="s">
        <v>690</v>
      </c>
    </row>
    <row r="301" spans="1:11" x14ac:dyDescent="0.3">
      <c r="A301" t="s">
        <v>649</v>
      </c>
      <c r="B301" t="s">
        <v>650</v>
      </c>
      <c r="C301">
        <v>15</v>
      </c>
      <c r="D301" t="s">
        <v>157</v>
      </c>
      <c r="E301">
        <f t="shared" si="4"/>
        <v>200000</v>
      </c>
      <c r="F301">
        <v>3000000</v>
      </c>
      <c r="G301" t="s">
        <v>178</v>
      </c>
      <c r="H301" t="s">
        <v>1136</v>
      </c>
      <c r="I301" s="193" t="s">
        <v>966</v>
      </c>
      <c r="J301" s="193" t="s">
        <v>966</v>
      </c>
      <c r="K301" s="193" t="s">
        <v>690</v>
      </c>
    </row>
    <row r="302" spans="1:11" x14ac:dyDescent="0.3">
      <c r="A302" t="s">
        <v>651</v>
      </c>
      <c r="B302" t="s">
        <v>652</v>
      </c>
      <c r="C302">
        <v>15</v>
      </c>
      <c r="D302" t="s">
        <v>157</v>
      </c>
      <c r="E302">
        <f t="shared" si="4"/>
        <v>200000</v>
      </c>
      <c r="F302">
        <v>3000000</v>
      </c>
      <c r="G302" t="s">
        <v>178</v>
      </c>
      <c r="H302" t="s">
        <v>1136</v>
      </c>
      <c r="I302" s="193" t="s">
        <v>966</v>
      </c>
      <c r="J302" s="193" t="s">
        <v>966</v>
      </c>
      <c r="K302" s="193" t="s">
        <v>690</v>
      </c>
    </row>
    <row r="303" spans="1:11" x14ac:dyDescent="0.3">
      <c r="A303" t="s">
        <v>653</v>
      </c>
      <c r="B303" t="s">
        <v>654</v>
      </c>
      <c r="C303">
        <v>15</v>
      </c>
      <c r="D303" t="s">
        <v>157</v>
      </c>
      <c r="E303">
        <f t="shared" si="4"/>
        <v>200000</v>
      </c>
      <c r="F303">
        <v>3000000</v>
      </c>
      <c r="G303" t="s">
        <v>178</v>
      </c>
      <c r="H303" t="s">
        <v>1136</v>
      </c>
      <c r="I303" s="193" t="s">
        <v>966</v>
      </c>
      <c r="J303" s="193" t="s">
        <v>966</v>
      </c>
      <c r="K303" s="193" t="s">
        <v>690</v>
      </c>
    </row>
    <row r="304" spans="1:11" x14ac:dyDescent="0.3">
      <c r="A304" t="s">
        <v>655</v>
      </c>
      <c r="B304" t="s">
        <v>656</v>
      </c>
      <c r="C304">
        <v>15</v>
      </c>
      <c r="D304" t="s">
        <v>157</v>
      </c>
      <c r="E304">
        <f t="shared" si="4"/>
        <v>200000</v>
      </c>
      <c r="F304">
        <v>3000000</v>
      </c>
      <c r="G304" t="s">
        <v>178</v>
      </c>
      <c r="H304" t="s">
        <v>1136</v>
      </c>
      <c r="I304" s="193" t="s">
        <v>966</v>
      </c>
      <c r="J304" s="193" t="s">
        <v>966</v>
      </c>
      <c r="K304" s="193" t="s">
        <v>690</v>
      </c>
    </row>
    <row r="305" spans="1:11" x14ac:dyDescent="0.3">
      <c r="A305" t="s">
        <v>657</v>
      </c>
      <c r="B305" t="s">
        <v>658</v>
      </c>
      <c r="C305">
        <v>15</v>
      </c>
      <c r="D305" t="s">
        <v>157</v>
      </c>
      <c r="E305">
        <f t="shared" si="4"/>
        <v>200000</v>
      </c>
      <c r="F305">
        <v>3000000</v>
      </c>
      <c r="G305" t="s">
        <v>178</v>
      </c>
      <c r="H305" t="s">
        <v>1136</v>
      </c>
      <c r="I305" s="193" t="s">
        <v>966</v>
      </c>
      <c r="J305" s="193" t="s">
        <v>966</v>
      </c>
      <c r="K305" s="193" t="s">
        <v>690</v>
      </c>
    </row>
    <row r="306" spans="1:11" x14ac:dyDescent="0.3">
      <c r="A306" t="s">
        <v>659</v>
      </c>
      <c r="B306" t="s">
        <v>660</v>
      </c>
      <c r="C306">
        <v>15</v>
      </c>
      <c r="D306" t="s">
        <v>157</v>
      </c>
      <c r="E306">
        <f t="shared" si="4"/>
        <v>200000</v>
      </c>
      <c r="F306">
        <v>3000000</v>
      </c>
      <c r="G306" t="s">
        <v>178</v>
      </c>
      <c r="H306" t="s">
        <v>1136</v>
      </c>
      <c r="I306" s="193" t="s">
        <v>966</v>
      </c>
      <c r="J306" s="193" t="s">
        <v>966</v>
      </c>
      <c r="K306" s="193" t="s">
        <v>690</v>
      </c>
    </row>
  </sheetData>
  <phoneticPr fontId="33" type="noConversion"/>
  <pageMargins left="0.7" right="0.7" top="0.75" bottom="0.75" header="0.3" footer="0.3"/>
  <pageSetup paperSize="256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F15A-EEE9-436C-9AE5-ABC510221F6E}">
  <sheetPr>
    <tabColor rgb="FFFF0000"/>
  </sheetPr>
  <dimension ref="A1:AA93"/>
  <sheetViews>
    <sheetView zoomScale="85" zoomScaleNormal="85" zoomScaleSheetLayoutView="70" workbookViewId="0">
      <selection activeCell="H201" sqref="H201"/>
    </sheetView>
  </sheetViews>
  <sheetFormatPr defaultColWidth="9.109375" defaultRowHeight="13.8" x14ac:dyDescent="0.25"/>
  <cols>
    <col min="1" max="1" width="5.44140625" style="2" customWidth="1"/>
    <col min="2" max="2" width="5.5546875" style="2" customWidth="1"/>
    <col min="3" max="3" width="9" style="2" customWidth="1"/>
    <col min="4" max="6" width="5.5546875" style="2" customWidth="1"/>
    <col min="7" max="7" width="6.44140625" style="2" customWidth="1"/>
    <col min="8" max="8" width="83.109375" style="2" customWidth="1"/>
    <col min="9" max="9" width="13" style="9" hidden="1" customWidth="1"/>
    <col min="10" max="10" width="14.5546875" style="2" hidden="1" customWidth="1"/>
    <col min="11" max="11" width="27.44140625" style="7" customWidth="1"/>
    <col min="12" max="12" width="29" style="2" customWidth="1"/>
    <col min="13" max="13" width="16.44140625" style="3" customWidth="1"/>
    <col min="14" max="14" width="43.109375" style="3" customWidth="1"/>
    <col min="15" max="15" width="20.44140625" style="3" customWidth="1"/>
    <col min="16" max="16" width="26.109375" style="3" customWidth="1"/>
    <col min="17" max="17" width="24.21875" style="3" customWidth="1"/>
    <col min="18" max="18" width="23.44140625" style="4" customWidth="1"/>
    <col min="19" max="19" width="23.6640625" style="4" customWidth="1"/>
    <col min="20" max="21" width="24.5546875" style="2" customWidth="1"/>
    <col min="22" max="22" width="21.44140625" style="2" customWidth="1"/>
    <col min="23" max="23" width="24.44140625" style="2" customWidth="1"/>
    <col min="24" max="26" width="21.44140625" style="2" customWidth="1"/>
    <col min="27" max="27" width="25.109375" style="2" customWidth="1"/>
    <col min="28" max="16384" width="9.109375" style="2"/>
  </cols>
  <sheetData>
    <row r="1" spans="1:27" x14ac:dyDescent="0.25">
      <c r="I1" s="201"/>
      <c r="J1" s="201"/>
      <c r="K1" s="201"/>
    </row>
    <row r="2" spans="1:27" x14ac:dyDescent="0.25">
      <c r="I2" s="201"/>
      <c r="J2" s="201"/>
      <c r="K2" s="201"/>
      <c r="L2" s="201"/>
      <c r="M2" s="5"/>
      <c r="N2" s="5"/>
      <c r="O2" s="5"/>
    </row>
    <row r="3" spans="1:27" x14ac:dyDescent="0.25">
      <c r="I3" s="201"/>
      <c r="J3" s="201"/>
      <c r="K3" s="201"/>
      <c r="O3" s="3">
        <v>3800000</v>
      </c>
    </row>
    <row r="4" spans="1:27" x14ac:dyDescent="0.25">
      <c r="I4" s="6"/>
      <c r="O4" s="3">
        <f>O3-1412000</f>
        <v>2388000</v>
      </c>
    </row>
    <row r="5" spans="1:27" x14ac:dyDescent="0.25">
      <c r="I5" s="201"/>
      <c r="J5" s="201"/>
      <c r="K5" s="201"/>
      <c r="L5" s="201"/>
      <c r="M5" s="5"/>
      <c r="N5" s="5"/>
      <c r="O5" s="8">
        <f>O4/25000</f>
        <v>95.52</v>
      </c>
    </row>
    <row r="6" spans="1:27" x14ac:dyDescent="0.25">
      <c r="I6" s="201"/>
      <c r="J6" s="201"/>
      <c r="K6" s="201"/>
      <c r="L6" s="201"/>
      <c r="M6" s="5"/>
      <c r="N6" s="5"/>
      <c r="O6" s="5">
        <f>90*25000</f>
        <v>2250000</v>
      </c>
    </row>
    <row r="7" spans="1:27" x14ac:dyDescent="0.25">
      <c r="O7" s="3">
        <f>O4-O6</f>
        <v>138000</v>
      </c>
    </row>
    <row r="8" spans="1:27" x14ac:dyDescent="0.25">
      <c r="A8" s="196" t="s">
        <v>693</v>
      </c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0"/>
      <c r="N8" s="10"/>
      <c r="O8" s="10"/>
    </row>
    <row r="9" spans="1:27" x14ac:dyDescent="0.25">
      <c r="A9" s="196" t="s">
        <v>694</v>
      </c>
      <c r="B9" s="196"/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0"/>
      <c r="N9" s="10"/>
      <c r="O9" s="10"/>
    </row>
    <row r="10" spans="1:27" x14ac:dyDescent="0.25">
      <c r="A10" s="196" t="s">
        <v>695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0"/>
      <c r="N10" s="10"/>
      <c r="O10" s="10"/>
      <c r="V10" s="11">
        <f>V13*0.03</f>
        <v>19542570</v>
      </c>
    </row>
    <row r="11" spans="1:27" s="12" customFormat="1" ht="15" customHeight="1" x14ac:dyDescent="0.3">
      <c r="G11" s="13"/>
      <c r="I11" s="14"/>
      <c r="K11" s="15"/>
      <c r="M11" s="16"/>
      <c r="N11" s="16"/>
      <c r="O11" s="16"/>
      <c r="P11" s="16"/>
      <c r="Q11" s="16"/>
    </row>
    <row r="12" spans="1:27" s="12" customFormat="1" ht="15.6" x14ac:dyDescent="0.3">
      <c r="A12" s="197" t="s">
        <v>696</v>
      </c>
      <c r="B12" s="197"/>
      <c r="C12" s="197"/>
      <c r="D12" s="197"/>
      <c r="E12" s="197"/>
      <c r="F12" s="197"/>
      <c r="G12" s="197"/>
      <c r="H12" s="197" t="s">
        <v>697</v>
      </c>
      <c r="I12" s="197" t="s">
        <v>698</v>
      </c>
      <c r="J12" s="197"/>
      <c r="K12" s="198" t="s">
        <v>699</v>
      </c>
      <c r="L12" s="200" t="s">
        <v>700</v>
      </c>
      <c r="M12" s="17"/>
      <c r="N12" s="17"/>
      <c r="O12" s="17"/>
      <c r="P12" s="16"/>
      <c r="Q12" s="16"/>
      <c r="U12" s="12" t="s">
        <v>701</v>
      </c>
      <c r="V12" s="18">
        <f>20%*V13</f>
        <v>130283800</v>
      </c>
    </row>
    <row r="13" spans="1:27" s="12" customFormat="1" ht="15" customHeight="1" x14ac:dyDescent="0.3">
      <c r="A13" s="197"/>
      <c r="B13" s="197"/>
      <c r="C13" s="197"/>
      <c r="D13" s="197"/>
      <c r="E13" s="197"/>
      <c r="F13" s="197"/>
      <c r="G13" s="197"/>
      <c r="H13" s="197"/>
      <c r="I13" s="19" t="s">
        <v>702</v>
      </c>
      <c r="J13" s="19" t="s">
        <v>703</v>
      </c>
      <c r="K13" s="199"/>
      <c r="L13" s="200"/>
      <c r="M13" s="20"/>
      <c r="N13" s="17"/>
      <c r="O13" s="17"/>
      <c r="P13" s="16"/>
      <c r="Q13" s="16"/>
      <c r="U13" s="12" t="s">
        <v>704</v>
      </c>
      <c r="V13" s="18">
        <f>[2]DD!J8</f>
        <v>651419000</v>
      </c>
    </row>
    <row r="14" spans="1:27" s="27" customFormat="1" ht="17.399999999999999" x14ac:dyDescent="0.3">
      <c r="A14" s="21">
        <v>1</v>
      </c>
      <c r="B14" s="21"/>
      <c r="C14" s="21"/>
      <c r="D14" s="21"/>
      <c r="E14" s="21"/>
      <c r="F14" s="21"/>
      <c r="G14" s="23"/>
      <c r="H14" s="22" t="s">
        <v>716</v>
      </c>
      <c r="I14" s="21"/>
      <c r="J14" s="22"/>
      <c r="K14" s="24" t="e">
        <f>K15+K16+K17+K18+K19</f>
        <v>#REF!</v>
      </c>
      <c r="L14" s="22"/>
      <c r="M14" s="20"/>
      <c r="N14" s="30"/>
      <c r="O14" s="25"/>
      <c r="P14" s="49">
        <f>[2]ADD25!G10</f>
        <v>593872275</v>
      </c>
      <c r="Q14" s="26">
        <f>[2]DD!J8</f>
        <v>651419000</v>
      </c>
      <c r="R14" s="26">
        <f>'[2]PAD1 '!H30</f>
        <v>550849967</v>
      </c>
      <c r="S14" s="26">
        <f>'[3]PAD1 '!G12</f>
        <v>28100000</v>
      </c>
      <c r="T14" s="26">
        <f>'[3]PENDAPATAN dan PENGELUARAN'!J6</f>
        <v>33600000</v>
      </c>
      <c r="U14" s="26"/>
      <c r="V14" s="26">
        <f>'[2]BHP PPR'!F8</f>
        <v>72531000</v>
      </c>
      <c r="W14" s="26">
        <f>[3]DD!J8</f>
        <v>626587000</v>
      </c>
      <c r="X14" s="26">
        <f>'[3]SILP PAD'!F8</f>
        <v>60761493.620000005</v>
      </c>
      <c r="Y14" s="26">
        <v>5000000</v>
      </c>
      <c r="Z14" s="26">
        <f>'[3]Kumpulan Silpa'!C10</f>
        <v>861347.09999999986</v>
      </c>
      <c r="AA14" s="50">
        <f>SUM(P14:Z14)-Q14-X14-Y14</f>
        <v>1906401589.0999999</v>
      </c>
    </row>
    <row r="15" spans="1:27" s="35" customFormat="1" ht="47.25" customHeight="1" x14ac:dyDescent="0.3">
      <c r="A15" s="31">
        <v>1</v>
      </c>
      <c r="B15" s="51">
        <v>1</v>
      </c>
      <c r="C15" s="31"/>
      <c r="D15" s="31"/>
      <c r="E15" s="31"/>
      <c r="F15" s="31"/>
      <c r="G15" s="32"/>
      <c r="H15" s="29" t="s">
        <v>692</v>
      </c>
      <c r="I15" s="31"/>
      <c r="J15" s="29"/>
      <c r="K15" s="33" t="e">
        <f>#REF!+#REF!+#REF!+#REF!+#REF!+#REF!+#REF!+#REF!+#REF!+#REF!+#REF!+#REF!+#REF!+#REF!+#REF!</f>
        <v>#REF!</v>
      </c>
      <c r="L15" s="29" t="s">
        <v>717</v>
      </c>
      <c r="M15" s="20"/>
      <c r="N15" s="30"/>
      <c r="O15" s="52"/>
      <c r="P15" s="53">
        <f>SUM(P16:P20)</f>
        <v>0</v>
      </c>
      <c r="Q15" s="53">
        <f>SUM(Q16:Q66)</f>
        <v>130283800</v>
      </c>
      <c r="R15" s="53">
        <f>SUM(R16:R20)</f>
        <v>0</v>
      </c>
      <c r="S15" s="54">
        <f>SUM(S16:S66)</f>
        <v>0</v>
      </c>
      <c r="T15" s="54">
        <f>SUM(T16:T66)</f>
        <v>0</v>
      </c>
      <c r="U15" s="54"/>
      <c r="V15" s="54">
        <f>SUM(V16:V66)</f>
        <v>0</v>
      </c>
      <c r="W15" s="54">
        <f>SUM(W16:W66)</f>
        <v>0</v>
      </c>
      <c r="X15" s="54">
        <f>SUM(X16:X66)</f>
        <v>0</v>
      </c>
      <c r="Y15" s="54">
        <f>SUM(Y16:Y66)</f>
        <v>0</v>
      </c>
      <c r="Z15" s="54">
        <f>SUM(Z16:Z66)</f>
        <v>0</v>
      </c>
      <c r="AA15" s="50">
        <f>SUM(P15:Z15)</f>
        <v>130283800</v>
      </c>
    </row>
    <row r="16" spans="1:27" s="35" customFormat="1" ht="15.6" x14ac:dyDescent="0.3">
      <c r="A16" s="31">
        <v>1</v>
      </c>
      <c r="B16" s="51">
        <v>2</v>
      </c>
      <c r="C16" s="51"/>
      <c r="D16" s="31"/>
      <c r="E16" s="31"/>
      <c r="F16" s="51"/>
      <c r="G16" s="89"/>
      <c r="H16" s="29" t="s">
        <v>751</v>
      </c>
      <c r="I16" s="31"/>
      <c r="J16" s="29"/>
      <c r="K16" s="33" t="e">
        <f>#REF!+#REF!+#REF!</f>
        <v>#REF!</v>
      </c>
      <c r="L16" s="29" t="s">
        <v>752</v>
      </c>
      <c r="M16" s="20"/>
      <c r="N16" s="30"/>
      <c r="O16" s="67"/>
      <c r="P16" s="53"/>
      <c r="Q16" s="53"/>
      <c r="R16" s="90"/>
      <c r="S16" s="90"/>
      <c r="T16" s="90"/>
      <c r="U16" s="90"/>
      <c r="V16" s="90"/>
    </row>
    <row r="17" spans="1:26" s="35" customFormat="1" ht="31.2" x14ac:dyDescent="0.3">
      <c r="A17" s="31">
        <v>1</v>
      </c>
      <c r="B17" s="51">
        <v>3</v>
      </c>
      <c r="C17" s="51"/>
      <c r="D17" s="31"/>
      <c r="E17" s="31"/>
      <c r="F17" s="51"/>
      <c r="G17" s="89"/>
      <c r="H17" s="29" t="s">
        <v>762</v>
      </c>
      <c r="I17" s="31"/>
      <c r="J17" s="29"/>
      <c r="K17" s="33" t="e">
        <f>#REF!+#REF!+#REF!+#REF!+#REF!</f>
        <v>#REF!</v>
      </c>
      <c r="L17" s="92" t="s">
        <v>759</v>
      </c>
      <c r="M17" s="20"/>
      <c r="N17" s="30"/>
      <c r="O17" s="67"/>
      <c r="P17" s="53"/>
      <c r="Q17" s="53"/>
      <c r="R17" s="90"/>
      <c r="S17" s="90"/>
      <c r="T17" s="90"/>
      <c r="U17" s="90"/>
      <c r="V17" s="90"/>
    </row>
    <row r="18" spans="1:26" s="27" customFormat="1" ht="15.6" x14ac:dyDescent="0.3">
      <c r="A18" s="98">
        <v>1</v>
      </c>
      <c r="B18" s="99">
        <v>4</v>
      </c>
      <c r="C18" s="100"/>
      <c r="D18" s="98"/>
      <c r="E18" s="98"/>
      <c r="F18" s="98"/>
      <c r="G18" s="101"/>
      <c r="H18" s="102" t="s">
        <v>769</v>
      </c>
      <c r="I18" s="98"/>
      <c r="J18" s="103"/>
      <c r="K18" s="104" t="e">
        <f>#REF!+#REF!+#REF!+#REF!+#REF!+#REF!+#REF!+#REF!+#REF!+#REF!+#REF!+#REF!+#REF!</f>
        <v>#REF!</v>
      </c>
      <c r="L18" s="103" t="s">
        <v>770</v>
      </c>
      <c r="M18" s="20"/>
      <c r="N18" s="30"/>
      <c r="O18" s="67"/>
      <c r="P18" s="105"/>
      <c r="Q18" s="105"/>
      <c r="R18" s="106"/>
      <c r="S18" s="106"/>
      <c r="T18" s="106"/>
      <c r="U18" s="106"/>
      <c r="V18" s="106"/>
    </row>
    <row r="19" spans="1:26" s="27" customFormat="1" ht="15.6" x14ac:dyDescent="0.3">
      <c r="A19" s="125">
        <v>1</v>
      </c>
      <c r="B19" s="126">
        <v>5</v>
      </c>
      <c r="C19" s="127"/>
      <c r="D19" s="36"/>
      <c r="E19" s="21"/>
      <c r="F19" s="21"/>
      <c r="G19" s="23"/>
      <c r="H19" s="128" t="s">
        <v>787</v>
      </c>
      <c r="I19" s="129"/>
      <c r="J19" s="22"/>
      <c r="K19" s="24" t="e">
        <f>#REF!+#REF!+#REF!+#REF!+#REF!+#REF!+#REF!</f>
        <v>#REF!</v>
      </c>
      <c r="L19" s="130" t="s">
        <v>8</v>
      </c>
      <c r="M19" s="20"/>
      <c r="N19" s="30"/>
      <c r="O19" s="67"/>
      <c r="P19" s="122"/>
      <c r="Q19" s="122"/>
      <c r="R19" s="106"/>
      <c r="S19" s="106"/>
      <c r="T19" s="106"/>
      <c r="U19" s="106"/>
      <c r="V19" s="123"/>
      <c r="W19" s="28"/>
      <c r="X19" s="28"/>
      <c r="Y19" s="28"/>
      <c r="Z19" s="28"/>
    </row>
    <row r="20" spans="1:26" s="27" customFormat="1" ht="46.8" x14ac:dyDescent="0.3">
      <c r="A20" s="21">
        <v>2</v>
      </c>
      <c r="B20" s="131"/>
      <c r="C20" s="131"/>
      <c r="D20" s="36"/>
      <c r="E20" s="21"/>
      <c r="F20" s="21"/>
      <c r="G20" s="23"/>
      <c r="H20" s="22" t="s">
        <v>796</v>
      </c>
      <c r="I20" s="129"/>
      <c r="J20" s="22"/>
      <c r="K20" s="24" t="e">
        <f>K21+K22+K23+K24+K25+K26+K27+K28</f>
        <v>#REF!</v>
      </c>
      <c r="L20" s="130" t="s">
        <v>797</v>
      </c>
      <c r="M20" s="20"/>
      <c r="N20" s="30"/>
      <c r="O20" s="41"/>
      <c r="P20" s="26"/>
      <c r="Q20" s="26"/>
    </row>
    <row r="21" spans="1:26" s="27" customFormat="1" ht="15.6" x14ac:dyDescent="0.3">
      <c r="A21" s="21">
        <v>2</v>
      </c>
      <c r="B21" s="131">
        <v>1</v>
      </c>
      <c r="C21" s="131"/>
      <c r="D21" s="36"/>
      <c r="E21" s="21"/>
      <c r="F21" s="21"/>
      <c r="G21" s="23"/>
      <c r="H21" s="22" t="s">
        <v>798</v>
      </c>
      <c r="I21" s="129"/>
      <c r="J21" s="22"/>
      <c r="K21" s="24" t="e">
        <f>#REF!+#REF!+#REF!+#REF!+#REF!+#REF!+#REF!+#REF!+#REF!+#REF!</f>
        <v>#REF!</v>
      </c>
      <c r="L21" s="130" t="s">
        <v>799</v>
      </c>
      <c r="M21" s="20"/>
      <c r="N21" s="30"/>
      <c r="O21" s="41"/>
      <c r="P21" s="26"/>
      <c r="Q21" s="26"/>
    </row>
    <row r="22" spans="1:26" s="27" customFormat="1" ht="15.6" x14ac:dyDescent="0.3">
      <c r="A22" s="133">
        <v>2</v>
      </c>
      <c r="B22" s="126">
        <v>2</v>
      </c>
      <c r="C22" s="126"/>
      <c r="D22" s="36"/>
      <c r="E22" s="21"/>
      <c r="F22" s="21"/>
      <c r="G22" s="23"/>
      <c r="H22" s="134" t="s">
        <v>811</v>
      </c>
      <c r="I22" s="135"/>
      <c r="J22" s="22"/>
      <c r="K22" s="24" t="e">
        <f>#REF!+#REF!+#REF!+#REF!+#REF!+#REF!+#REF!+#REF!+#REF!</f>
        <v>#REF!</v>
      </c>
      <c r="L22" s="22" t="s">
        <v>812</v>
      </c>
      <c r="M22" s="20"/>
      <c r="N22" s="30"/>
      <c r="O22" s="41"/>
      <c r="P22" s="26"/>
      <c r="Q22" s="26"/>
    </row>
    <row r="23" spans="1:26" s="27" customFormat="1" ht="15.6" x14ac:dyDescent="0.3">
      <c r="A23" s="133">
        <v>2</v>
      </c>
      <c r="B23" s="126">
        <v>3</v>
      </c>
      <c r="C23" s="131"/>
      <c r="D23" s="36"/>
      <c r="E23" s="21"/>
      <c r="F23" s="21"/>
      <c r="G23" s="23"/>
      <c r="H23" s="134" t="s">
        <v>824</v>
      </c>
      <c r="I23" s="129"/>
      <c r="J23" s="22"/>
      <c r="K23" s="24" t="e">
        <f>#REF!+#REF!+#REF!+#REF!+#REF!+#REF!+#REF!+#REF!+#REF!+#REF!+#REF!+#REF!+#REF!+#REF!+#REF!+#REF!+#REF!+#REF!+#REF!+#REF!</f>
        <v>#REF!</v>
      </c>
      <c r="L23" s="22"/>
      <c r="M23" s="20"/>
      <c r="N23" s="30"/>
      <c r="O23" s="41"/>
      <c r="P23" s="26"/>
      <c r="Q23" s="26"/>
    </row>
    <row r="24" spans="1:26" s="27" customFormat="1" ht="15.6" x14ac:dyDescent="0.3">
      <c r="A24" s="133">
        <v>2</v>
      </c>
      <c r="B24" s="126">
        <v>4</v>
      </c>
      <c r="C24" s="126"/>
      <c r="D24" s="36"/>
      <c r="E24" s="21"/>
      <c r="F24" s="21"/>
      <c r="G24" s="23"/>
      <c r="H24" s="134" t="s">
        <v>857</v>
      </c>
      <c r="I24" s="129"/>
      <c r="J24" s="22"/>
      <c r="K24" s="24" t="e">
        <f>#REF!+#REF!+#REF!+#REF!+#REF!+#REF!+#REF!+#REF!+#REF!+#REF!+#REF!+#REF!+#REF!+#REF!+#REF!+#REF!+#REF!</f>
        <v>#REF!</v>
      </c>
      <c r="L24" s="143" t="s">
        <v>713</v>
      </c>
      <c r="M24" s="20"/>
      <c r="N24" s="30"/>
      <c r="O24" s="41"/>
      <c r="P24" s="26"/>
      <c r="Q24" s="26"/>
    </row>
    <row r="25" spans="1:26" s="147" customFormat="1" ht="15.6" x14ac:dyDescent="0.3">
      <c r="A25" s="36">
        <v>2</v>
      </c>
      <c r="B25" s="76">
        <v>5</v>
      </c>
      <c r="C25" s="93"/>
      <c r="D25" s="36"/>
      <c r="E25" s="93"/>
      <c r="F25" s="93"/>
      <c r="G25" s="144"/>
      <c r="H25" s="152" t="s">
        <v>875</v>
      </c>
      <c r="I25" s="153"/>
      <c r="J25" s="145"/>
      <c r="K25" s="38" t="e">
        <f>#REF!+#REF!+#REF!</f>
        <v>#REF!</v>
      </c>
      <c r="L25" s="145"/>
      <c r="M25" s="20"/>
      <c r="N25" s="30"/>
      <c r="O25" s="41"/>
      <c r="P25" s="146"/>
      <c r="Q25" s="146"/>
    </row>
    <row r="26" spans="1:26" s="147" customFormat="1" ht="15.6" x14ac:dyDescent="0.3">
      <c r="A26" s="36">
        <v>2</v>
      </c>
      <c r="B26" s="76">
        <v>6</v>
      </c>
      <c r="C26" s="93"/>
      <c r="D26" s="36"/>
      <c r="E26" s="93"/>
      <c r="F26" s="93"/>
      <c r="G26" s="144"/>
      <c r="H26" s="152" t="s">
        <v>879</v>
      </c>
      <c r="I26" s="153"/>
      <c r="J26" s="145"/>
      <c r="K26" s="38" t="e">
        <f>#REF!+#REF!+#REF!</f>
        <v>#REF!</v>
      </c>
      <c r="L26" s="37" t="s">
        <v>880</v>
      </c>
      <c r="M26" s="20"/>
      <c r="N26" s="30"/>
      <c r="O26" s="41"/>
      <c r="P26" s="146"/>
      <c r="Q26" s="146"/>
    </row>
    <row r="27" spans="1:26" s="12" customFormat="1" ht="15.6" x14ac:dyDescent="0.3">
      <c r="A27" s="132">
        <v>2</v>
      </c>
      <c r="B27" s="93">
        <v>7</v>
      </c>
      <c r="C27" s="93"/>
      <c r="D27" s="36"/>
      <c r="E27" s="36"/>
      <c r="F27" s="36"/>
      <c r="G27" s="39"/>
      <c r="H27" s="134" t="s">
        <v>884</v>
      </c>
      <c r="I27" s="153"/>
      <c r="J27" s="37"/>
      <c r="K27" s="38" t="e">
        <f>#REF!+#REF!</f>
        <v>#REF!</v>
      </c>
      <c r="L27" s="37" t="s">
        <v>713</v>
      </c>
      <c r="M27" s="20"/>
      <c r="N27" s="30"/>
      <c r="O27" s="41"/>
      <c r="P27" s="16"/>
      <c r="Q27" s="16"/>
    </row>
    <row r="28" spans="1:26" s="12" customFormat="1" ht="15.6" x14ac:dyDescent="0.3">
      <c r="A28" s="21">
        <v>2</v>
      </c>
      <c r="B28" s="131">
        <v>8</v>
      </c>
      <c r="C28" s="93"/>
      <c r="D28" s="36"/>
      <c r="E28" s="36"/>
      <c r="F28" s="36"/>
      <c r="G28" s="39"/>
      <c r="H28" s="152" t="s">
        <v>887</v>
      </c>
      <c r="I28" s="153"/>
      <c r="J28" s="37"/>
      <c r="K28" s="38" t="e">
        <f>#REF!+#REF!+#REF!</f>
        <v>#REF!</v>
      </c>
      <c r="L28" s="37"/>
      <c r="M28" s="20"/>
      <c r="N28" s="30"/>
      <c r="O28" s="41"/>
      <c r="P28" s="16"/>
      <c r="Q28" s="16"/>
    </row>
    <row r="29" spans="1:26" s="27" customFormat="1" ht="15.6" x14ac:dyDescent="0.3">
      <c r="A29" s="21">
        <v>3</v>
      </c>
      <c r="B29" s="131"/>
      <c r="C29" s="131"/>
      <c r="D29" s="36"/>
      <c r="E29" s="21"/>
      <c r="F29" s="21"/>
      <c r="G29" s="23"/>
      <c r="H29" s="22" t="s">
        <v>891</v>
      </c>
      <c r="I29" s="129"/>
      <c r="J29" s="22"/>
      <c r="K29" s="24" t="e">
        <f>K30+K31+K32+K33</f>
        <v>#REF!</v>
      </c>
      <c r="L29" s="22" t="s">
        <v>892</v>
      </c>
      <c r="M29" s="20"/>
      <c r="N29" s="30"/>
      <c r="O29" s="41"/>
      <c r="P29" s="26"/>
      <c r="Q29" s="26"/>
    </row>
    <row r="30" spans="1:26" s="35" customFormat="1" ht="15.6" x14ac:dyDescent="0.3">
      <c r="A30" s="31">
        <v>3</v>
      </c>
      <c r="B30" s="51">
        <v>1</v>
      </c>
      <c r="C30" s="51"/>
      <c r="D30" s="36"/>
      <c r="E30" s="31"/>
      <c r="F30" s="31"/>
      <c r="G30" s="32"/>
      <c r="H30" s="29" t="s">
        <v>893</v>
      </c>
      <c r="I30" s="158"/>
      <c r="J30" s="29"/>
      <c r="K30" s="33" t="e">
        <f>#REF!+#REF!+#REF!+#REF!+#REF!+#REF!+#REF!</f>
        <v>#REF!</v>
      </c>
      <c r="L30" s="29" t="s">
        <v>894</v>
      </c>
      <c r="M30" s="20"/>
      <c r="N30" s="30"/>
      <c r="O30" s="41"/>
      <c r="P30" s="34"/>
      <c r="Q30" s="34"/>
    </row>
    <row r="31" spans="1:26" s="12" customFormat="1" ht="15.6" x14ac:dyDescent="0.3">
      <c r="A31" s="36">
        <v>3</v>
      </c>
      <c r="B31" s="76">
        <v>2</v>
      </c>
      <c r="C31" s="93"/>
      <c r="D31" s="36"/>
      <c r="E31" s="36"/>
      <c r="F31" s="36"/>
      <c r="G31" s="39"/>
      <c r="H31" s="160" t="s">
        <v>902</v>
      </c>
      <c r="I31" s="110"/>
      <c r="J31" s="37"/>
      <c r="K31" s="38" t="e">
        <f>#REF!+#REF!+#REF!+#REF!+#REF!</f>
        <v>#REF!</v>
      </c>
      <c r="L31" s="37" t="s">
        <v>903</v>
      </c>
      <c r="M31" s="20"/>
      <c r="N31" s="30"/>
      <c r="O31" s="41"/>
      <c r="P31" s="16"/>
      <c r="Q31" s="16"/>
    </row>
    <row r="32" spans="1:26" s="12" customFormat="1" ht="15.6" x14ac:dyDescent="0.3">
      <c r="A32" s="132">
        <v>3</v>
      </c>
      <c r="B32" s="76">
        <v>3</v>
      </c>
      <c r="C32" s="93"/>
      <c r="D32" s="36"/>
      <c r="E32" s="36"/>
      <c r="F32" s="36"/>
      <c r="G32" s="39"/>
      <c r="H32" s="22" t="s">
        <v>913</v>
      </c>
      <c r="I32" s="110"/>
      <c r="J32" s="37"/>
      <c r="K32" s="38" t="e">
        <f>#REF!+#REF!+#REF!+#REF!+#REF!+#REF!</f>
        <v>#REF!</v>
      </c>
      <c r="L32" s="37" t="s">
        <v>914</v>
      </c>
      <c r="M32" s="20"/>
      <c r="N32" s="30"/>
      <c r="O32" s="41"/>
      <c r="P32" s="16"/>
      <c r="Q32" s="16"/>
    </row>
    <row r="33" spans="1:17" s="12" customFormat="1" ht="15" customHeight="1" x14ac:dyDescent="0.3">
      <c r="A33" s="132">
        <v>3</v>
      </c>
      <c r="B33" s="76">
        <v>4</v>
      </c>
      <c r="C33" s="93"/>
      <c r="D33" s="36"/>
      <c r="E33" s="36"/>
      <c r="F33" s="36"/>
      <c r="G33" s="39"/>
      <c r="H33" s="161" t="s">
        <v>921</v>
      </c>
      <c r="I33" s="36"/>
      <c r="J33" s="37"/>
      <c r="K33" s="38" t="e">
        <f>#REF!+#REF!+#REF!+#REF!</f>
        <v>#REF!</v>
      </c>
      <c r="L33" s="37" t="s">
        <v>8</v>
      </c>
      <c r="M33" s="20"/>
      <c r="N33" s="30"/>
      <c r="O33" s="41"/>
      <c r="P33" s="16"/>
      <c r="Q33" s="16"/>
    </row>
    <row r="34" spans="1:17" s="27" customFormat="1" ht="15.6" x14ac:dyDescent="0.3">
      <c r="A34" s="21">
        <v>4</v>
      </c>
      <c r="B34" s="131"/>
      <c r="C34" s="131"/>
      <c r="D34" s="36"/>
      <c r="E34" s="21"/>
      <c r="F34" s="21"/>
      <c r="G34" s="23"/>
      <c r="H34" s="22" t="s">
        <v>926</v>
      </c>
      <c r="I34" s="21"/>
      <c r="J34" s="22"/>
      <c r="K34" s="24" t="e">
        <f>K35+K36+K37+K38+K39+K40+K41</f>
        <v>#REF!</v>
      </c>
      <c r="L34" s="22" t="s">
        <v>713</v>
      </c>
      <c r="M34" s="20"/>
      <c r="N34" s="30"/>
      <c r="O34" s="41"/>
      <c r="P34" s="26"/>
      <c r="Q34" s="26"/>
    </row>
    <row r="35" spans="1:17" s="35" customFormat="1" ht="15.6" x14ac:dyDescent="0.3">
      <c r="A35" s="31">
        <v>4</v>
      </c>
      <c r="B35" s="51">
        <v>1</v>
      </c>
      <c r="C35" s="51"/>
      <c r="D35" s="36"/>
      <c r="E35" s="31"/>
      <c r="F35" s="31"/>
      <c r="G35" s="32"/>
      <c r="H35" s="29" t="s">
        <v>927</v>
      </c>
      <c r="I35" s="31"/>
      <c r="J35" s="29"/>
      <c r="K35" s="33" t="e">
        <f>#REF!+#REF!+#REF!+#REF!+#REF!+#REF!</f>
        <v>#REF!</v>
      </c>
      <c r="L35" s="29"/>
      <c r="M35" s="20"/>
      <c r="N35" s="30"/>
      <c r="O35" s="41"/>
      <c r="P35" s="34"/>
      <c r="Q35" s="34"/>
    </row>
    <row r="36" spans="1:17" s="35" customFormat="1" ht="15.6" x14ac:dyDescent="0.3">
      <c r="A36" s="31">
        <v>4</v>
      </c>
      <c r="B36" s="51">
        <v>2</v>
      </c>
      <c r="C36" s="51"/>
      <c r="D36" s="36"/>
      <c r="E36" s="31"/>
      <c r="F36" s="31"/>
      <c r="G36" s="32"/>
      <c r="H36" s="29" t="s">
        <v>934</v>
      </c>
      <c r="I36" s="31"/>
      <c r="J36" s="29"/>
      <c r="K36" s="33" t="e">
        <f>#REF!+#REF!+#REF!+#REF!+#REF!+#REF!</f>
        <v>#REF!</v>
      </c>
      <c r="L36" s="37" t="s">
        <v>713</v>
      </c>
      <c r="M36" s="20"/>
      <c r="N36" s="30"/>
      <c r="O36" s="41"/>
      <c r="P36" s="34"/>
      <c r="Q36" s="34"/>
    </row>
    <row r="37" spans="1:17" s="35" customFormat="1" ht="15.6" x14ac:dyDescent="0.3">
      <c r="A37" s="31">
        <v>4</v>
      </c>
      <c r="B37" s="51">
        <v>3</v>
      </c>
      <c r="C37" s="51"/>
      <c r="D37" s="36"/>
      <c r="E37" s="31"/>
      <c r="F37" s="31"/>
      <c r="G37" s="32"/>
      <c r="H37" s="29" t="s">
        <v>941</v>
      </c>
      <c r="I37" s="31"/>
      <c r="J37" s="29"/>
      <c r="K37" s="33" t="e">
        <f>#REF!+#REF!+#REF!</f>
        <v>#REF!</v>
      </c>
      <c r="L37" s="37"/>
      <c r="M37" s="20"/>
      <c r="N37" s="30"/>
      <c r="O37" s="41"/>
      <c r="P37" s="34"/>
      <c r="Q37" s="34"/>
    </row>
    <row r="38" spans="1:17" s="12" customFormat="1" ht="15.6" x14ac:dyDescent="0.3">
      <c r="A38" s="21">
        <v>4</v>
      </c>
      <c r="B38" s="131">
        <v>4</v>
      </c>
      <c r="C38" s="76"/>
      <c r="D38" s="36"/>
      <c r="E38" s="36"/>
      <c r="F38" s="36"/>
      <c r="G38" s="39"/>
      <c r="H38" s="163" t="s">
        <v>945</v>
      </c>
      <c r="I38" s="36"/>
      <c r="J38" s="37"/>
      <c r="K38" s="38" t="e">
        <f>#REF!+#REF!+#REF!</f>
        <v>#REF!</v>
      </c>
      <c r="L38" s="37"/>
      <c r="M38" s="20"/>
      <c r="N38" s="30"/>
      <c r="O38" s="41"/>
      <c r="P38" s="16"/>
      <c r="Q38" s="16"/>
    </row>
    <row r="39" spans="1:17" s="12" customFormat="1" ht="15.6" x14ac:dyDescent="0.3">
      <c r="A39" s="21">
        <v>4</v>
      </c>
      <c r="B39" s="131">
        <v>5</v>
      </c>
      <c r="C39" s="76"/>
      <c r="D39" s="36"/>
      <c r="E39" s="36"/>
      <c r="F39" s="36"/>
      <c r="G39" s="39"/>
      <c r="H39" s="134" t="s">
        <v>949</v>
      </c>
      <c r="I39" s="153"/>
      <c r="J39" s="37"/>
      <c r="K39" s="38" t="e">
        <f>#REF!+#REF!+#REF!</f>
        <v>#REF!</v>
      </c>
      <c r="L39" s="37"/>
      <c r="M39" s="20"/>
      <c r="N39" s="30"/>
      <c r="O39" s="41"/>
      <c r="P39" s="16"/>
      <c r="Q39" s="16"/>
    </row>
    <row r="40" spans="1:17" s="12" customFormat="1" ht="15.6" x14ac:dyDescent="0.3">
      <c r="A40" s="21">
        <v>4</v>
      </c>
      <c r="B40" s="131">
        <v>6</v>
      </c>
      <c r="C40" s="76"/>
      <c r="D40" s="36"/>
      <c r="E40" s="36"/>
      <c r="F40" s="36"/>
      <c r="G40" s="39"/>
      <c r="H40" s="152" t="s">
        <v>953</v>
      </c>
      <c r="I40" s="153"/>
      <c r="J40" s="37"/>
      <c r="K40" s="38" t="e">
        <f>#REF!+#REF!</f>
        <v>#REF!</v>
      </c>
      <c r="L40" s="37"/>
      <c r="M40" s="20"/>
      <c r="N40" s="30"/>
      <c r="O40" s="41"/>
      <c r="P40" s="16"/>
      <c r="Q40" s="16"/>
    </row>
    <row r="41" spans="1:17" s="12" customFormat="1" ht="15.6" x14ac:dyDescent="0.3">
      <c r="A41" s="36">
        <v>4</v>
      </c>
      <c r="B41" s="76">
        <v>7</v>
      </c>
      <c r="C41" s="76"/>
      <c r="D41" s="36"/>
      <c r="E41" s="36"/>
      <c r="F41" s="36"/>
      <c r="G41" s="39"/>
      <c r="H41" s="152" t="s">
        <v>956</v>
      </c>
      <c r="I41" s="153"/>
      <c r="J41" s="37"/>
      <c r="K41" s="38" t="e">
        <f>#REF!+#REF!+#REF!+#REF!</f>
        <v>#REF!</v>
      </c>
      <c r="L41" s="37" t="s">
        <v>8</v>
      </c>
      <c r="M41" s="20"/>
      <c r="N41" s="30"/>
      <c r="O41" s="41"/>
      <c r="P41" s="16"/>
      <c r="Q41" s="16"/>
    </row>
    <row r="42" spans="1:17" s="27" customFormat="1" ht="30" customHeight="1" x14ac:dyDescent="0.3">
      <c r="A42" s="21">
        <v>5</v>
      </c>
      <c r="B42" s="131"/>
      <c r="C42" s="131"/>
      <c r="D42" s="36"/>
      <c r="E42" s="21"/>
      <c r="F42" s="21"/>
      <c r="G42" s="23"/>
      <c r="H42" s="22" t="s">
        <v>961</v>
      </c>
      <c r="I42" s="21"/>
      <c r="J42" s="22"/>
      <c r="K42" s="24" t="e">
        <f>K43+K44+K45</f>
        <v>#REF!</v>
      </c>
      <c r="L42" s="22" t="s">
        <v>713</v>
      </c>
      <c r="M42" s="20"/>
      <c r="N42" s="30"/>
      <c r="O42" s="41"/>
      <c r="P42" s="26"/>
      <c r="Q42" s="26"/>
    </row>
    <row r="43" spans="1:17" s="27" customFormat="1" ht="15.6" x14ac:dyDescent="0.3">
      <c r="A43" s="21">
        <v>5</v>
      </c>
      <c r="B43" s="131">
        <v>1</v>
      </c>
      <c r="C43" s="21"/>
      <c r="D43" s="36"/>
      <c r="E43" s="21"/>
      <c r="F43" s="21"/>
      <c r="G43" s="23"/>
      <c r="H43" s="22" t="s">
        <v>962</v>
      </c>
      <c r="I43" s="21"/>
      <c r="J43" s="22"/>
      <c r="K43" s="24" t="e">
        <f>#REF!</f>
        <v>#REF!</v>
      </c>
      <c r="L43" s="22" t="s">
        <v>713</v>
      </c>
      <c r="M43" s="20"/>
      <c r="N43" s="30"/>
      <c r="O43" s="41"/>
      <c r="P43" s="26"/>
      <c r="Q43" s="26"/>
    </row>
    <row r="44" spans="1:17" s="27" customFormat="1" ht="15.6" x14ac:dyDescent="0.3">
      <c r="A44" s="21">
        <v>5</v>
      </c>
      <c r="B44" s="131">
        <v>2</v>
      </c>
      <c r="C44" s="21"/>
      <c r="D44" s="36"/>
      <c r="E44" s="21"/>
      <c r="F44" s="21"/>
      <c r="G44" s="23"/>
      <c r="H44" s="22" t="s">
        <v>965</v>
      </c>
      <c r="I44" s="21"/>
      <c r="J44" s="22"/>
      <c r="K44" s="24" t="e">
        <f>#REF!</f>
        <v>#REF!</v>
      </c>
      <c r="L44" s="22" t="s">
        <v>713</v>
      </c>
      <c r="M44" s="20"/>
      <c r="N44" s="30"/>
      <c r="O44" s="41"/>
      <c r="P44" s="26"/>
      <c r="Q44" s="26"/>
    </row>
    <row r="45" spans="1:17" s="27" customFormat="1" ht="15.6" x14ac:dyDescent="0.3">
      <c r="A45" s="21">
        <v>5</v>
      </c>
      <c r="B45" s="131">
        <v>3</v>
      </c>
      <c r="C45" s="21"/>
      <c r="D45" s="36"/>
      <c r="E45" s="21"/>
      <c r="F45" s="21"/>
      <c r="G45" s="23"/>
      <c r="H45" s="22" t="s">
        <v>966</v>
      </c>
      <c r="I45" s="21"/>
      <c r="J45" s="22"/>
      <c r="K45" s="24" t="e">
        <f>#REF!</f>
        <v>#REF!</v>
      </c>
      <c r="L45" s="22" t="s">
        <v>713</v>
      </c>
      <c r="M45" s="20"/>
      <c r="N45" s="30"/>
      <c r="O45" s="41"/>
      <c r="P45" s="26"/>
      <c r="Q45" s="26"/>
    </row>
    <row r="46" spans="1:17" s="12" customFormat="1" ht="15.6" x14ac:dyDescent="0.3">
      <c r="A46" s="71"/>
      <c r="B46" s="72"/>
      <c r="C46" s="72"/>
      <c r="D46" s="71"/>
      <c r="E46" s="71"/>
      <c r="F46" s="71"/>
      <c r="G46" s="73"/>
      <c r="H46" s="74"/>
      <c r="I46" s="36"/>
      <c r="J46" s="37"/>
      <c r="K46" s="38"/>
      <c r="L46" s="37"/>
      <c r="M46" s="20"/>
      <c r="N46" s="30"/>
      <c r="O46" s="41"/>
      <c r="P46" s="16"/>
      <c r="Q46" s="16"/>
    </row>
    <row r="47" spans="1:17" s="12" customFormat="1" ht="15.6" x14ac:dyDescent="0.3">
      <c r="A47" s="36"/>
      <c r="B47" s="36"/>
      <c r="C47" s="36"/>
      <c r="D47" s="36"/>
      <c r="E47" s="36"/>
      <c r="F47" s="36"/>
      <c r="G47" s="39"/>
      <c r="H47" s="37"/>
      <c r="I47" s="36"/>
      <c r="J47" s="37"/>
      <c r="K47" s="38"/>
      <c r="L47" s="37"/>
      <c r="M47" s="20"/>
      <c r="N47" s="30"/>
      <c r="O47" s="41"/>
      <c r="P47" s="16"/>
      <c r="Q47" s="16"/>
    </row>
    <row r="48" spans="1:17" s="12" customFormat="1" ht="15.6" x14ac:dyDescent="0.3">
      <c r="A48" s="36"/>
      <c r="B48" s="36"/>
      <c r="C48" s="36"/>
      <c r="D48" s="36"/>
      <c r="E48" s="36"/>
      <c r="F48" s="36"/>
      <c r="G48" s="39"/>
      <c r="H48" s="22" t="s">
        <v>967</v>
      </c>
      <c r="I48" s="36"/>
      <c r="J48" s="37"/>
      <c r="K48" s="38" t="e">
        <f>#REF!</f>
        <v>#REF!</v>
      </c>
      <c r="L48" s="37"/>
      <c r="M48" s="20"/>
      <c r="N48" s="30"/>
      <c r="O48" s="41"/>
      <c r="P48" s="16"/>
      <c r="Q48" s="16"/>
    </row>
    <row r="49" spans="1:19" s="12" customFormat="1" ht="15.6" x14ac:dyDescent="0.3">
      <c r="A49" s="36"/>
      <c r="B49" s="36"/>
      <c r="C49" s="36"/>
      <c r="D49" s="36"/>
      <c r="E49" s="36"/>
      <c r="F49" s="36"/>
      <c r="G49" s="39"/>
      <c r="H49" s="22" t="s">
        <v>968</v>
      </c>
      <c r="I49" s="36"/>
      <c r="J49" s="37"/>
      <c r="K49" s="38" t="e">
        <f>#REF!-#REF!</f>
        <v>#REF!</v>
      </c>
      <c r="L49" s="37"/>
      <c r="M49" s="20"/>
      <c r="N49" s="30"/>
      <c r="O49" s="41"/>
      <c r="P49" s="16"/>
      <c r="Q49" s="16"/>
    </row>
    <row r="50" spans="1:19" s="12" customFormat="1" ht="15.6" x14ac:dyDescent="0.3">
      <c r="A50" s="36"/>
      <c r="B50" s="36"/>
      <c r="C50" s="36"/>
      <c r="D50" s="36"/>
      <c r="E50" s="36"/>
      <c r="F50" s="36"/>
      <c r="G50" s="39"/>
      <c r="H50" s="37"/>
      <c r="I50" s="36"/>
      <c r="J50" s="37"/>
      <c r="K50" s="38"/>
      <c r="L50" s="37"/>
      <c r="M50" s="20"/>
      <c r="N50" s="30"/>
      <c r="O50" s="41"/>
      <c r="P50" s="16"/>
      <c r="Q50" s="16"/>
    </row>
    <row r="51" spans="1:19" s="12" customFormat="1" ht="15.6" x14ac:dyDescent="0.3">
      <c r="A51" s="36"/>
      <c r="B51" s="36"/>
      <c r="C51" s="36"/>
      <c r="D51" s="36">
        <v>6</v>
      </c>
      <c r="E51" s="36"/>
      <c r="F51" s="36"/>
      <c r="G51" s="39"/>
      <c r="H51" s="22" t="s">
        <v>969</v>
      </c>
      <c r="I51" s="36"/>
      <c r="J51" s="37"/>
      <c r="K51" s="38">
        <f>K52-K59</f>
        <v>-95090774.300000012</v>
      </c>
      <c r="L51" s="37" t="s">
        <v>970</v>
      </c>
      <c r="M51" s="20"/>
      <c r="N51" s="30"/>
      <c r="O51" s="41"/>
      <c r="P51" s="16"/>
      <c r="Q51" s="16"/>
    </row>
    <row r="52" spans="1:19" s="12" customFormat="1" ht="15.6" x14ac:dyDescent="0.3">
      <c r="A52" s="36"/>
      <c r="B52" s="36"/>
      <c r="C52" s="36"/>
      <c r="D52" s="36">
        <v>6</v>
      </c>
      <c r="E52" s="36">
        <v>1</v>
      </c>
      <c r="F52" s="36"/>
      <c r="G52" s="39"/>
      <c r="H52" s="22" t="s">
        <v>971</v>
      </c>
      <c r="I52" s="36"/>
      <c r="J52" s="37"/>
      <c r="K52" s="38">
        <f>K53+K55+K57</f>
        <v>35193025.699999996</v>
      </c>
      <c r="L52" s="37" t="s">
        <v>970</v>
      </c>
      <c r="M52" s="20"/>
      <c r="N52" s="30"/>
      <c r="O52" s="41"/>
      <c r="P52" s="16"/>
      <c r="Q52" s="16"/>
    </row>
    <row r="53" spans="1:19" s="83" customFormat="1" ht="15.6" x14ac:dyDescent="0.3">
      <c r="A53" s="79"/>
      <c r="B53" s="79"/>
      <c r="C53" s="79"/>
      <c r="D53" s="36">
        <v>6</v>
      </c>
      <c r="E53" s="79">
        <v>1</v>
      </c>
      <c r="F53" s="79">
        <v>1</v>
      </c>
      <c r="G53" s="80"/>
      <c r="H53" s="81" t="s">
        <v>972</v>
      </c>
      <c r="I53" s="79"/>
      <c r="J53" s="81"/>
      <c r="K53" s="82">
        <f>K54</f>
        <v>35193025.699999996</v>
      </c>
      <c r="L53" s="37" t="s">
        <v>970</v>
      </c>
      <c r="M53" s="20"/>
      <c r="N53" s="30"/>
      <c r="O53" s="41"/>
      <c r="P53" s="136"/>
      <c r="Q53" s="136"/>
      <c r="R53" s="12"/>
      <c r="S53" s="12"/>
    </row>
    <row r="54" spans="1:19" s="12" customFormat="1" ht="15.6" x14ac:dyDescent="0.3">
      <c r="A54" s="36"/>
      <c r="B54" s="36"/>
      <c r="C54" s="36"/>
      <c r="D54" s="36">
        <v>6</v>
      </c>
      <c r="E54" s="36">
        <v>1</v>
      </c>
      <c r="F54" s="36">
        <v>1</v>
      </c>
      <c r="G54" s="39">
        <v>1</v>
      </c>
      <c r="H54" s="37" t="s">
        <v>972</v>
      </c>
      <c r="I54" s="36"/>
      <c r="J54" s="37"/>
      <c r="K54" s="38">
        <f>'[2]SILV DD'!C8+'[2]SILV ADD'!F8+'[2]SILP PAD'!F8+'[2]SILV BHP BHR'!C8+[2]lain2!F9</f>
        <v>35193025.699999996</v>
      </c>
      <c r="L54" s="37" t="s">
        <v>970</v>
      </c>
      <c r="M54" s="20"/>
      <c r="N54" s="30"/>
      <c r="O54" s="41"/>
      <c r="P54" s="16"/>
      <c r="Q54" s="16"/>
    </row>
    <row r="55" spans="1:19" s="83" customFormat="1" ht="15.6" x14ac:dyDescent="0.3">
      <c r="A55" s="79"/>
      <c r="B55" s="79"/>
      <c r="C55" s="79"/>
      <c r="D55" s="36">
        <v>6</v>
      </c>
      <c r="E55" s="79">
        <v>1</v>
      </c>
      <c r="F55" s="79">
        <v>2</v>
      </c>
      <c r="G55" s="80"/>
      <c r="H55" s="168" t="s">
        <v>973</v>
      </c>
      <c r="I55" s="79"/>
      <c r="J55" s="81"/>
      <c r="K55" s="82">
        <f>K56</f>
        <v>0</v>
      </c>
      <c r="L55" s="81"/>
      <c r="M55" s="20"/>
      <c r="N55" s="30"/>
      <c r="O55" s="41"/>
      <c r="P55" s="136"/>
      <c r="Q55" s="136"/>
      <c r="R55" s="12"/>
      <c r="S55" s="12"/>
    </row>
    <row r="56" spans="1:19" s="12" customFormat="1" ht="15.6" x14ac:dyDescent="0.3">
      <c r="A56" s="36"/>
      <c r="B56" s="36"/>
      <c r="C56" s="36"/>
      <c r="D56" s="36">
        <v>6</v>
      </c>
      <c r="E56" s="36">
        <v>1</v>
      </c>
      <c r="F56" s="36">
        <v>2</v>
      </c>
      <c r="G56" s="39">
        <v>1</v>
      </c>
      <c r="H56" s="169" t="s">
        <v>973</v>
      </c>
      <c r="I56" s="36"/>
      <c r="J56" s="37"/>
      <c r="K56" s="38"/>
      <c r="L56" s="37"/>
      <c r="M56" s="20"/>
      <c r="N56" s="30"/>
      <c r="O56" s="41"/>
      <c r="P56" s="16"/>
      <c r="Q56" s="16"/>
    </row>
    <row r="57" spans="1:19" s="83" customFormat="1" ht="15.6" x14ac:dyDescent="0.3">
      <c r="A57" s="79"/>
      <c r="B57" s="79"/>
      <c r="C57" s="79"/>
      <c r="D57" s="36">
        <v>6</v>
      </c>
      <c r="E57" s="79">
        <v>1</v>
      </c>
      <c r="F57" s="79">
        <v>3</v>
      </c>
      <c r="G57" s="80"/>
      <c r="H57" s="81" t="s">
        <v>974</v>
      </c>
      <c r="I57" s="79"/>
      <c r="J57" s="81"/>
      <c r="K57" s="82">
        <f>K58</f>
        <v>0</v>
      </c>
      <c r="L57" s="81"/>
      <c r="M57" s="20"/>
      <c r="N57" s="30"/>
      <c r="O57" s="41"/>
      <c r="P57" s="136"/>
      <c r="Q57" s="136"/>
      <c r="R57" s="12"/>
      <c r="S57" s="12"/>
    </row>
    <row r="58" spans="1:19" s="12" customFormat="1" ht="15.6" x14ac:dyDescent="0.3">
      <c r="A58" s="36"/>
      <c r="B58" s="36"/>
      <c r="C58" s="36"/>
      <c r="D58" s="36">
        <v>6</v>
      </c>
      <c r="E58" s="36">
        <v>1</v>
      </c>
      <c r="F58" s="36">
        <v>3</v>
      </c>
      <c r="G58" s="39">
        <v>1</v>
      </c>
      <c r="H58" s="37" t="s">
        <v>974</v>
      </c>
      <c r="I58" s="36"/>
      <c r="J58" s="37"/>
      <c r="K58" s="38"/>
      <c r="L58" s="37"/>
      <c r="M58" s="20"/>
      <c r="N58" s="30"/>
      <c r="O58" s="41"/>
      <c r="P58" s="16"/>
      <c r="Q58" s="16"/>
    </row>
    <row r="59" spans="1:19" s="12" customFormat="1" ht="15.6" x14ac:dyDescent="0.3">
      <c r="A59" s="36"/>
      <c r="B59" s="36"/>
      <c r="C59" s="36"/>
      <c r="D59" s="36">
        <v>6</v>
      </c>
      <c r="E59" s="36">
        <v>2</v>
      </c>
      <c r="F59" s="36"/>
      <c r="G59" s="39"/>
      <c r="H59" s="22" t="s">
        <v>975</v>
      </c>
      <c r="I59" s="36"/>
      <c r="J59" s="37"/>
      <c r="K59" s="38">
        <f>K60+K62</f>
        <v>130283800</v>
      </c>
      <c r="L59" s="37"/>
      <c r="M59" s="20"/>
      <c r="N59" s="30"/>
      <c r="O59" s="41"/>
      <c r="P59" s="16"/>
      <c r="Q59" s="45">
        <f>K59</f>
        <v>130283800</v>
      </c>
    </row>
    <row r="60" spans="1:19" s="83" customFormat="1" ht="15.6" x14ac:dyDescent="0.3">
      <c r="A60" s="79"/>
      <c r="B60" s="79"/>
      <c r="C60" s="79"/>
      <c r="D60" s="36">
        <v>6</v>
      </c>
      <c r="E60" s="79">
        <v>2</v>
      </c>
      <c r="F60" s="79">
        <v>1</v>
      </c>
      <c r="G60" s="80"/>
      <c r="H60" s="81" t="s">
        <v>976</v>
      </c>
      <c r="I60" s="79"/>
      <c r="J60" s="81"/>
      <c r="K60" s="82">
        <f>K61</f>
        <v>0</v>
      </c>
      <c r="L60" s="81"/>
      <c r="M60" s="20"/>
      <c r="N60" s="30"/>
      <c r="O60" s="41"/>
      <c r="P60" s="136"/>
      <c r="Q60" s="136"/>
      <c r="R60" s="12"/>
      <c r="S60" s="12"/>
    </row>
    <row r="61" spans="1:19" s="12" customFormat="1" ht="15.6" x14ac:dyDescent="0.3">
      <c r="A61" s="36"/>
      <c r="B61" s="36"/>
      <c r="C61" s="36"/>
      <c r="D61" s="36">
        <v>6</v>
      </c>
      <c r="E61" s="36">
        <v>2</v>
      </c>
      <c r="F61" s="36">
        <v>1</v>
      </c>
      <c r="G61" s="39">
        <v>1</v>
      </c>
      <c r="H61" s="37" t="s">
        <v>976</v>
      </c>
      <c r="I61" s="36"/>
      <c r="J61" s="37"/>
      <c r="K61" s="38"/>
      <c r="L61" s="37"/>
      <c r="M61" s="20"/>
      <c r="N61" s="30"/>
      <c r="O61" s="41"/>
      <c r="P61" s="16"/>
      <c r="Q61" s="16"/>
    </row>
    <row r="62" spans="1:19" s="83" customFormat="1" ht="15.6" x14ac:dyDescent="0.3">
      <c r="A62" s="79"/>
      <c r="B62" s="79"/>
      <c r="C62" s="79"/>
      <c r="D62" s="36">
        <v>6</v>
      </c>
      <c r="E62" s="79">
        <v>2</v>
      </c>
      <c r="F62" s="79">
        <v>2</v>
      </c>
      <c r="G62" s="80"/>
      <c r="H62" s="81" t="s">
        <v>977</v>
      </c>
      <c r="I62" s="79"/>
      <c r="J62" s="81"/>
      <c r="K62" s="82">
        <f>K63</f>
        <v>130283800</v>
      </c>
      <c r="L62" s="37"/>
      <c r="M62" s="20"/>
      <c r="N62" s="30"/>
      <c r="O62" s="41"/>
      <c r="P62" s="136"/>
      <c r="Q62" s="136"/>
      <c r="R62" s="18"/>
      <c r="S62" s="18"/>
    </row>
    <row r="63" spans="1:19" s="12" customFormat="1" ht="15.6" x14ac:dyDescent="0.3">
      <c r="A63" s="36"/>
      <c r="B63" s="36"/>
      <c r="C63" s="36"/>
      <c r="D63" s="36">
        <v>6</v>
      </c>
      <c r="E63" s="36">
        <v>2</v>
      </c>
      <c r="F63" s="36">
        <v>2</v>
      </c>
      <c r="G63" s="39">
        <v>1</v>
      </c>
      <c r="H63" s="37" t="s">
        <v>977</v>
      </c>
      <c r="I63" s="36"/>
      <c r="J63" s="37"/>
      <c r="K63" s="38">
        <f>[2]DD!K203</f>
        <v>130283800</v>
      </c>
      <c r="L63" s="37"/>
      <c r="M63" s="20"/>
      <c r="N63" s="30"/>
      <c r="O63" s="41"/>
      <c r="P63" s="16"/>
      <c r="Q63" s="16"/>
      <c r="R63" s="18"/>
      <c r="S63" s="18"/>
    </row>
    <row r="64" spans="1:19" s="12" customFormat="1" ht="18" customHeight="1" x14ac:dyDescent="0.3">
      <c r="A64" s="36"/>
      <c r="B64" s="36"/>
      <c r="C64" s="36"/>
      <c r="D64" s="36"/>
      <c r="E64" s="36"/>
      <c r="F64" s="36"/>
      <c r="G64" s="39"/>
      <c r="H64" s="37"/>
      <c r="I64" s="36"/>
      <c r="J64" s="37"/>
      <c r="K64" s="38"/>
      <c r="L64" s="37"/>
      <c r="M64" s="20"/>
      <c r="N64" s="30"/>
      <c r="O64" s="41"/>
      <c r="P64" s="16"/>
      <c r="Q64" s="16"/>
    </row>
    <row r="65" spans="1:27" s="176" customFormat="1" ht="32.25" customHeight="1" x14ac:dyDescent="0.3">
      <c r="A65" s="170"/>
      <c r="B65" s="170"/>
      <c r="C65" s="170"/>
      <c r="D65" s="170"/>
      <c r="E65" s="170"/>
      <c r="F65" s="170"/>
      <c r="G65" s="171"/>
      <c r="H65" s="172" t="s">
        <v>978</v>
      </c>
      <c r="I65" s="170"/>
      <c r="J65" s="172"/>
      <c r="K65" s="173">
        <f>K52-K59</f>
        <v>-95090774.300000012</v>
      </c>
      <c r="L65" s="172"/>
      <c r="M65" s="20"/>
      <c r="N65" s="30"/>
      <c r="O65" s="41"/>
      <c r="P65" s="174"/>
      <c r="Q65" s="174"/>
      <c r="R65" s="175"/>
      <c r="S65" s="175"/>
    </row>
    <row r="66" spans="1:27" s="176" customFormat="1" ht="20.100000000000001" customHeight="1" x14ac:dyDescent="0.3">
      <c r="A66" s="177"/>
      <c r="B66" s="178"/>
      <c r="C66" s="178"/>
      <c r="D66" s="178"/>
      <c r="E66" s="178"/>
      <c r="F66" s="178"/>
      <c r="G66" s="171"/>
      <c r="H66" s="178" t="s">
        <v>979</v>
      </c>
      <c r="I66" s="170"/>
      <c r="J66" s="178"/>
      <c r="K66" s="173" t="e">
        <f>K49+K65</f>
        <v>#REF!</v>
      </c>
      <c r="L66" s="178"/>
      <c r="M66" s="20"/>
      <c r="N66" s="30"/>
      <c r="O66" s="41"/>
      <c r="P66" s="174"/>
      <c r="Q66" s="174"/>
    </row>
    <row r="67" spans="1:27" s="12" customFormat="1" ht="15.6" x14ac:dyDescent="0.3">
      <c r="A67" s="179"/>
      <c r="B67" s="180"/>
      <c r="C67" s="180"/>
      <c r="D67" s="180"/>
      <c r="E67" s="180"/>
      <c r="F67" s="180"/>
      <c r="G67" s="181"/>
      <c r="H67" s="180"/>
      <c r="I67" s="182"/>
      <c r="J67" s="180"/>
      <c r="K67" s="194" t="s">
        <v>980</v>
      </c>
      <c r="L67" s="194"/>
      <c r="M67" s="20"/>
      <c r="N67" s="30"/>
      <c r="O67" s="20"/>
      <c r="P67" s="16"/>
      <c r="Q67" s="16"/>
    </row>
    <row r="68" spans="1:27" s="12" customFormat="1" ht="15.6" x14ac:dyDescent="0.3">
      <c r="A68" s="179"/>
      <c r="B68" s="180"/>
      <c r="C68" s="180"/>
      <c r="D68" s="180"/>
      <c r="E68" s="180"/>
      <c r="F68" s="180"/>
      <c r="G68" s="181"/>
      <c r="H68" s="180"/>
      <c r="I68" s="182"/>
      <c r="J68" s="180"/>
      <c r="K68" s="194" t="s">
        <v>981</v>
      </c>
      <c r="L68" s="194"/>
      <c r="M68" s="20"/>
      <c r="N68" s="30"/>
      <c r="O68" s="20"/>
      <c r="P68" s="16"/>
      <c r="Q68" s="16"/>
    </row>
    <row r="69" spans="1:27" s="12" customFormat="1" ht="15.6" x14ac:dyDescent="0.3">
      <c r="A69" s="179"/>
      <c r="B69" s="180"/>
      <c r="C69" s="180"/>
      <c r="D69" s="180"/>
      <c r="E69" s="180"/>
      <c r="F69" s="180"/>
      <c r="G69" s="181"/>
      <c r="H69" s="180"/>
      <c r="I69" s="182"/>
      <c r="J69" s="180"/>
      <c r="K69" s="183"/>
      <c r="L69" s="182"/>
      <c r="M69" s="20"/>
      <c r="N69" s="30"/>
      <c r="O69" s="20"/>
      <c r="P69" s="16"/>
      <c r="Q69" s="16"/>
    </row>
    <row r="70" spans="1:27" s="12" customFormat="1" ht="15.6" x14ac:dyDescent="0.3">
      <c r="A70" s="179"/>
      <c r="B70" s="180"/>
      <c r="C70" s="180"/>
      <c r="D70" s="180"/>
      <c r="E70" s="180"/>
      <c r="F70" s="180"/>
      <c r="G70" s="181"/>
      <c r="H70" s="180"/>
      <c r="I70" s="182"/>
      <c r="J70" s="180"/>
      <c r="K70" s="183">
        <v>23904346.699999999</v>
      </c>
      <c r="L70" s="182"/>
      <c r="M70" s="20"/>
      <c r="N70" s="30"/>
      <c r="O70" s="20"/>
      <c r="P70" s="16"/>
      <c r="Q70" s="16"/>
    </row>
    <row r="71" spans="1:27" s="12" customFormat="1" ht="15.6" x14ac:dyDescent="0.3">
      <c r="A71" s="179"/>
      <c r="B71" s="180"/>
      <c r="C71" s="180"/>
      <c r="D71" s="180"/>
      <c r="E71" s="180"/>
      <c r="F71" s="180"/>
      <c r="G71" s="181"/>
      <c r="H71" s="180"/>
      <c r="I71" s="182"/>
      <c r="J71" s="180"/>
      <c r="K71" s="183" t="e">
        <f>K70-K66</f>
        <v>#REF!</v>
      </c>
      <c r="L71" s="182"/>
      <c r="M71" s="20"/>
      <c r="N71" s="30"/>
      <c r="O71" s="20"/>
      <c r="P71" s="16"/>
      <c r="Q71" s="16"/>
    </row>
    <row r="72" spans="1:27" s="12" customFormat="1" ht="15.6" x14ac:dyDescent="0.3">
      <c r="A72" s="179"/>
      <c r="B72" s="180"/>
      <c r="C72" s="180"/>
      <c r="D72" s="180"/>
      <c r="E72" s="180"/>
      <c r="F72" s="180"/>
      <c r="G72" s="181"/>
      <c r="H72" s="180"/>
      <c r="I72" s="182"/>
      <c r="J72" s="180"/>
      <c r="K72" s="183"/>
      <c r="L72" s="182"/>
      <c r="M72" s="20"/>
      <c r="N72" s="30"/>
      <c r="O72" s="20"/>
      <c r="P72" s="16"/>
      <c r="Q72" s="16"/>
    </row>
    <row r="73" spans="1:27" s="12" customFormat="1" ht="15.6" x14ac:dyDescent="0.3">
      <c r="G73" s="13"/>
      <c r="I73" s="14"/>
      <c r="K73" s="195" t="s">
        <v>982</v>
      </c>
      <c r="L73" s="195"/>
      <c r="M73" s="184"/>
      <c r="N73" s="30"/>
      <c r="O73" s="184"/>
      <c r="P73" s="16"/>
      <c r="Q73" s="16"/>
    </row>
    <row r="74" spans="1:27" s="12" customFormat="1" ht="15.6" x14ac:dyDescent="0.3">
      <c r="G74" s="13"/>
      <c r="I74" s="14"/>
      <c r="K74" s="183"/>
      <c r="L74" s="182"/>
      <c r="M74" s="20"/>
      <c r="N74" s="30"/>
      <c r="O74" s="20"/>
      <c r="P74" s="16"/>
      <c r="Q74" s="16"/>
    </row>
    <row r="75" spans="1:27" s="12" customFormat="1" ht="15.6" x14ac:dyDescent="0.3">
      <c r="G75" s="13"/>
      <c r="H75" s="12" t="s">
        <v>714</v>
      </c>
      <c r="I75" s="14"/>
      <c r="K75" s="183">
        <f>'[3]Kumpulan Silpa'!C10</f>
        <v>861347.09999999986</v>
      </c>
      <c r="L75" s="185"/>
      <c r="M75" s="20"/>
      <c r="N75" s="30"/>
      <c r="O75" s="20"/>
      <c r="P75" s="16"/>
      <c r="Q75" s="16"/>
    </row>
    <row r="76" spans="1:27" s="4" customFormat="1" ht="15.6" x14ac:dyDescent="0.25">
      <c r="A76" s="2"/>
      <c r="B76" s="2"/>
      <c r="C76" s="2"/>
      <c r="D76" s="2"/>
      <c r="E76" s="2"/>
      <c r="F76" s="2"/>
      <c r="G76" s="2"/>
      <c r="H76" s="2" t="s">
        <v>983</v>
      </c>
      <c r="I76" s="9"/>
      <c r="J76" s="2"/>
      <c r="K76" s="186">
        <f>'[3]Kumpulan Silpa'!C7</f>
        <v>273056.87999999896</v>
      </c>
      <c r="L76" s="187"/>
      <c r="M76" s="3"/>
      <c r="N76" s="30"/>
      <c r="O76" s="3"/>
      <c r="P76" s="3"/>
      <c r="Q76" s="3"/>
      <c r="T76" s="2"/>
      <c r="U76" s="2"/>
      <c r="V76" s="2"/>
      <c r="W76" s="2"/>
      <c r="X76" s="2"/>
      <c r="Y76" s="2"/>
      <c r="Z76" s="2"/>
      <c r="AA76" s="2"/>
    </row>
    <row r="77" spans="1:27" s="4" customFormat="1" ht="15.6" x14ac:dyDescent="0.25">
      <c r="A77" s="2"/>
      <c r="B77" s="2"/>
      <c r="C77" s="2"/>
      <c r="D77" s="2"/>
      <c r="E77" s="2"/>
      <c r="F77" s="2"/>
      <c r="G77" s="2"/>
      <c r="H77" s="2" t="s">
        <v>984</v>
      </c>
      <c r="I77" s="9"/>
      <c r="J77" s="2"/>
      <c r="K77" s="188">
        <f>'[3]SILV ADD'!H44</f>
        <v>10</v>
      </c>
      <c r="L77" s="189"/>
      <c r="M77" s="3"/>
      <c r="N77" s="30"/>
      <c r="O77" s="3"/>
      <c r="P77" s="3"/>
      <c r="Q77" s="3"/>
      <c r="T77" s="2"/>
      <c r="U77" s="2"/>
      <c r="V77" s="2"/>
      <c r="W77" s="2"/>
      <c r="X77" s="2"/>
      <c r="Y77" s="2"/>
      <c r="Z77" s="2"/>
      <c r="AA77" s="2"/>
    </row>
    <row r="78" spans="1:27" s="4" customFormat="1" ht="15.6" x14ac:dyDescent="0.25">
      <c r="A78" s="2"/>
      <c r="B78" s="2"/>
      <c r="C78" s="2"/>
      <c r="D78" s="2"/>
      <c r="E78" s="2"/>
      <c r="F78" s="2"/>
      <c r="G78" s="2"/>
      <c r="H78" s="2" t="s">
        <v>985</v>
      </c>
      <c r="I78" s="9"/>
      <c r="J78" s="2"/>
      <c r="K78" s="188">
        <f>'[3]BHP PPR'!H40</f>
        <v>0</v>
      </c>
      <c r="L78" s="189"/>
      <c r="M78" s="3"/>
      <c r="N78" s="30"/>
      <c r="O78" s="3"/>
      <c r="P78" s="3"/>
      <c r="Q78" s="3"/>
      <c r="T78" s="2"/>
      <c r="U78" s="2"/>
      <c r="V78" s="2"/>
      <c r="W78" s="2"/>
      <c r="X78" s="2"/>
      <c r="Y78" s="2"/>
      <c r="Z78" s="2"/>
      <c r="AA78" s="2"/>
    </row>
    <row r="79" spans="1:27" s="4" customFormat="1" ht="15.6" x14ac:dyDescent="0.25">
      <c r="A79" s="2"/>
      <c r="B79" s="2"/>
      <c r="C79" s="2"/>
      <c r="D79" s="2"/>
      <c r="E79" s="2"/>
      <c r="F79" s="2"/>
      <c r="G79" s="2"/>
      <c r="H79" s="2"/>
      <c r="I79" s="9"/>
      <c r="J79" s="2"/>
      <c r="K79" s="190">
        <f>SUM(K75:K78)</f>
        <v>1134413.9799999988</v>
      </c>
      <c r="L79" s="187"/>
      <c r="M79" s="3"/>
      <c r="N79" s="30"/>
      <c r="O79" s="3"/>
      <c r="P79" s="3"/>
      <c r="Q79" s="3"/>
      <c r="T79" s="2"/>
      <c r="U79" s="2"/>
      <c r="V79" s="2"/>
      <c r="W79" s="2"/>
      <c r="X79" s="2"/>
      <c r="Y79" s="2"/>
      <c r="Z79" s="2"/>
      <c r="AA79" s="2"/>
    </row>
    <row r="80" spans="1:27" s="4" customFormat="1" ht="15.6" x14ac:dyDescent="0.25">
      <c r="A80" s="2"/>
      <c r="B80" s="2"/>
      <c r="C80" s="2"/>
      <c r="D80" s="2"/>
      <c r="E80" s="2"/>
      <c r="F80" s="2"/>
      <c r="G80" s="2"/>
      <c r="H80" s="2"/>
      <c r="I80" s="9"/>
      <c r="J80" s="2"/>
      <c r="K80" s="188"/>
      <c r="L80" s="187"/>
      <c r="M80" s="3"/>
      <c r="N80" s="30"/>
      <c r="O80" s="3"/>
      <c r="P80" s="3"/>
      <c r="Q80" s="3"/>
      <c r="T80" s="2"/>
      <c r="U80" s="2"/>
      <c r="V80" s="2"/>
      <c r="W80" s="2"/>
      <c r="X80" s="2"/>
      <c r="Y80" s="2"/>
      <c r="Z80" s="2"/>
      <c r="AA80" s="2"/>
    </row>
    <row r="81" spans="1:27" s="4" customFormat="1" x14ac:dyDescent="0.25">
      <c r="A81" s="2"/>
      <c r="B81" s="2"/>
      <c r="C81" s="2"/>
      <c r="D81" s="2"/>
      <c r="E81" s="2"/>
      <c r="F81" s="2"/>
      <c r="G81" s="2"/>
      <c r="H81" s="2"/>
      <c r="I81" s="9"/>
      <c r="J81" s="2"/>
      <c r="K81" s="7"/>
      <c r="L81" s="11"/>
      <c r="M81" s="3"/>
      <c r="N81" s="3"/>
      <c r="O81" s="3"/>
      <c r="P81" s="3"/>
      <c r="Q81" s="3"/>
      <c r="T81" s="2"/>
      <c r="U81" s="2"/>
      <c r="V81" s="2"/>
      <c r="W81" s="2"/>
      <c r="X81" s="2"/>
      <c r="Y81" s="2"/>
      <c r="Z81" s="2"/>
      <c r="AA81" s="2"/>
    </row>
    <row r="90" spans="1:27" x14ac:dyDescent="0.25">
      <c r="M90" s="3" t="s">
        <v>713</v>
      </c>
      <c r="N90" s="3" t="s">
        <v>8</v>
      </c>
      <c r="O90" s="3" t="s">
        <v>77</v>
      </c>
      <c r="P90" s="3" t="s">
        <v>986</v>
      </c>
      <c r="Q90" s="3" t="s">
        <v>756</v>
      </c>
      <c r="R90" s="4" t="s">
        <v>827</v>
      </c>
      <c r="S90" s="4" t="s">
        <v>774</v>
      </c>
      <c r="T90" s="2" t="s">
        <v>715</v>
      </c>
    </row>
    <row r="91" spans="1:27" x14ac:dyDescent="0.25">
      <c r="L91" s="191">
        <f>SUM(M91:U91)</f>
        <v>749.79999999981374</v>
      </c>
      <c r="M91" s="3">
        <f>[2]DD!L205</f>
        <v>0</v>
      </c>
      <c r="N91" s="3">
        <f>[2]ADD25!H220</f>
        <v>725</v>
      </c>
      <c r="O91" s="3">
        <f>'[2]PAD1 '!I113</f>
        <v>33</v>
      </c>
      <c r="P91" s="3">
        <f>'[2]BHP PPR'!H38</f>
        <v>0</v>
      </c>
      <c r="Q91" s="3">
        <f>'[2]SILV ADD'!H45</f>
        <v>-8.2000000001862645</v>
      </c>
      <c r="R91" s="192">
        <f>'[2]SILV DD'!E34</f>
        <v>0</v>
      </c>
      <c r="S91" s="4">
        <f>'[2]SILP PAD'!H82</f>
        <v>0</v>
      </c>
    </row>
    <row r="93" spans="1:27" x14ac:dyDescent="0.25">
      <c r="L93" s="11" t="e">
        <f>L91-K66</f>
        <v>#REF!</v>
      </c>
    </row>
  </sheetData>
  <mergeCells count="16">
    <mergeCell ref="A8:L8"/>
    <mergeCell ref="I1:K1"/>
    <mergeCell ref="I2:L2"/>
    <mergeCell ref="I3:K3"/>
    <mergeCell ref="I5:L5"/>
    <mergeCell ref="I6:L6"/>
    <mergeCell ref="K67:L67"/>
    <mergeCell ref="K68:L68"/>
    <mergeCell ref="K73:L73"/>
    <mergeCell ref="A9:L9"/>
    <mergeCell ref="A10:L10"/>
    <mergeCell ref="A12:G13"/>
    <mergeCell ref="H12:H13"/>
    <mergeCell ref="I12:J12"/>
    <mergeCell ref="K12:K13"/>
    <mergeCell ref="L12:L13"/>
  </mergeCells>
  <printOptions horizontalCentered="1"/>
  <pageMargins left="0.47244094488188981" right="0.19685039370078741" top="0.9055118110236221" bottom="0.78740157480314965" header="0.31496062992125984" footer="0.31496062992125984"/>
  <pageSetup paperSize="10000" scale="66" orientation="landscape" horizontalDpi="4294967293" r:id="rId1"/>
  <rowBreaks count="1" manualBreakCount="1">
    <brk id="13" max="16383" man="1"/>
  </rowBreaks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3BC95-DB31-4687-9F57-D90F999243E8}">
  <sheetPr>
    <tabColor rgb="FFFF0000"/>
  </sheetPr>
  <dimension ref="A1:AA256"/>
  <sheetViews>
    <sheetView topLeftCell="A154" zoomScale="85" zoomScaleNormal="85" zoomScaleSheetLayoutView="70" workbookViewId="0">
      <selection activeCell="H201" sqref="H201"/>
    </sheetView>
  </sheetViews>
  <sheetFormatPr defaultColWidth="9.109375" defaultRowHeight="13.8" x14ac:dyDescent="0.25"/>
  <cols>
    <col min="1" max="1" width="5.44140625" style="2" customWidth="1"/>
    <col min="2" max="2" width="5.5546875" style="2" customWidth="1"/>
    <col min="3" max="3" width="9" style="2" customWidth="1"/>
    <col min="4" max="6" width="5.5546875" style="2" customWidth="1"/>
    <col min="7" max="7" width="6.44140625" style="2" customWidth="1"/>
    <col min="8" max="8" width="83.109375" style="2" customWidth="1"/>
    <col min="9" max="9" width="13" style="9" hidden="1" customWidth="1"/>
    <col min="10" max="10" width="14.5546875" style="2" hidden="1" customWidth="1"/>
    <col min="11" max="11" width="27.44140625" style="7" customWidth="1"/>
    <col min="12" max="12" width="29" style="2" customWidth="1"/>
    <col min="13" max="13" width="16.44140625" style="3" customWidth="1"/>
    <col min="14" max="14" width="43.109375" style="3" customWidth="1"/>
    <col min="15" max="15" width="20.44140625" style="3" customWidth="1"/>
    <col min="16" max="16" width="26.109375" style="3" customWidth="1"/>
    <col min="17" max="17" width="24.21875" style="3" customWidth="1"/>
    <col min="18" max="18" width="23.44140625" style="4" customWidth="1"/>
    <col min="19" max="19" width="23.6640625" style="4" customWidth="1"/>
    <col min="20" max="21" width="24.5546875" style="2" customWidth="1"/>
    <col min="22" max="22" width="21.44140625" style="2" customWidth="1"/>
    <col min="23" max="23" width="24.44140625" style="2" customWidth="1"/>
    <col min="24" max="26" width="21.44140625" style="2" customWidth="1"/>
    <col min="27" max="27" width="25.109375" style="2" customWidth="1"/>
    <col min="28" max="16384" width="9.109375" style="2"/>
  </cols>
  <sheetData>
    <row r="1" spans="1:27" x14ac:dyDescent="0.25">
      <c r="I1" s="201"/>
      <c r="J1" s="201"/>
      <c r="K1" s="201"/>
    </row>
    <row r="2" spans="1:27" x14ac:dyDescent="0.25">
      <c r="I2" s="201"/>
      <c r="J2" s="201"/>
      <c r="K2" s="201"/>
      <c r="L2" s="201"/>
      <c r="M2" s="5"/>
      <c r="N2" s="5"/>
      <c r="O2" s="5"/>
    </row>
    <row r="3" spans="1:27" x14ac:dyDescent="0.25">
      <c r="I3" s="201"/>
      <c r="J3" s="201"/>
      <c r="K3" s="201"/>
      <c r="O3" s="3">
        <v>3800000</v>
      </c>
    </row>
    <row r="4" spans="1:27" x14ac:dyDescent="0.25">
      <c r="I4" s="6"/>
      <c r="O4" s="3">
        <f>O3-1412000</f>
        <v>2388000</v>
      </c>
    </row>
    <row r="5" spans="1:27" x14ac:dyDescent="0.25">
      <c r="I5" s="201"/>
      <c r="J5" s="201"/>
      <c r="K5" s="201"/>
      <c r="L5" s="201"/>
      <c r="M5" s="5"/>
      <c r="N5" s="5"/>
      <c r="O5" s="8">
        <f>O4/25000</f>
        <v>95.52</v>
      </c>
    </row>
    <row r="6" spans="1:27" x14ac:dyDescent="0.25">
      <c r="I6" s="201"/>
      <c r="J6" s="201"/>
      <c r="K6" s="201"/>
      <c r="L6" s="201"/>
      <c r="M6" s="5"/>
      <c r="N6" s="5"/>
      <c r="O6" s="5">
        <f>90*25000</f>
        <v>2250000</v>
      </c>
    </row>
    <row r="7" spans="1:27" x14ac:dyDescent="0.25">
      <c r="O7" s="3">
        <f>O4-O6</f>
        <v>138000</v>
      </c>
    </row>
    <row r="8" spans="1:27" x14ac:dyDescent="0.25">
      <c r="A8" s="196" t="s">
        <v>693</v>
      </c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0"/>
      <c r="N8" s="10"/>
      <c r="O8" s="10"/>
    </row>
    <row r="9" spans="1:27" x14ac:dyDescent="0.25">
      <c r="A9" s="196" t="s">
        <v>694</v>
      </c>
      <c r="B9" s="196"/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0"/>
      <c r="N9" s="10"/>
      <c r="O9" s="10"/>
    </row>
    <row r="10" spans="1:27" x14ac:dyDescent="0.25">
      <c r="A10" s="196" t="s">
        <v>695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0"/>
      <c r="N10" s="10"/>
      <c r="O10" s="10"/>
      <c r="V10" s="11">
        <f>V13*0.03</f>
        <v>19542570</v>
      </c>
    </row>
    <row r="11" spans="1:27" s="12" customFormat="1" ht="15" customHeight="1" x14ac:dyDescent="0.3">
      <c r="G11" s="13"/>
      <c r="I11" s="14"/>
      <c r="K11" s="15"/>
      <c r="M11" s="16"/>
      <c r="N11" s="16"/>
      <c r="O11" s="16"/>
      <c r="P11" s="16"/>
      <c r="Q11" s="16"/>
    </row>
    <row r="12" spans="1:27" s="12" customFormat="1" ht="15.6" x14ac:dyDescent="0.3">
      <c r="A12" s="197" t="s">
        <v>696</v>
      </c>
      <c r="B12" s="197"/>
      <c r="C12" s="197"/>
      <c r="D12" s="197"/>
      <c r="E12" s="197"/>
      <c r="F12" s="197"/>
      <c r="G12" s="197"/>
      <c r="H12" s="197" t="s">
        <v>697</v>
      </c>
      <c r="I12" s="197" t="s">
        <v>698</v>
      </c>
      <c r="J12" s="197"/>
      <c r="K12" s="198" t="s">
        <v>699</v>
      </c>
      <c r="L12" s="200" t="s">
        <v>700</v>
      </c>
      <c r="M12" s="17"/>
      <c r="N12" s="17"/>
      <c r="O12" s="17"/>
      <c r="P12" s="16"/>
      <c r="Q12" s="16"/>
      <c r="U12" s="12" t="s">
        <v>701</v>
      </c>
      <c r="V12" s="18">
        <f>20%*V13</f>
        <v>130283800</v>
      </c>
    </row>
    <row r="13" spans="1:27" s="12" customFormat="1" ht="15" customHeight="1" x14ac:dyDescent="0.3">
      <c r="A13" s="197"/>
      <c r="B13" s="197"/>
      <c r="C13" s="197"/>
      <c r="D13" s="197"/>
      <c r="E13" s="197"/>
      <c r="F13" s="197"/>
      <c r="G13" s="197"/>
      <c r="H13" s="197"/>
      <c r="I13" s="19" t="s">
        <v>702</v>
      </c>
      <c r="J13" s="19" t="s">
        <v>703</v>
      </c>
      <c r="K13" s="199"/>
      <c r="L13" s="200"/>
      <c r="M13" s="20"/>
      <c r="N13" s="17"/>
      <c r="O13" s="17"/>
      <c r="P13" s="16"/>
      <c r="Q13" s="16"/>
      <c r="U13" s="12" t="s">
        <v>704</v>
      </c>
      <c r="V13" s="18">
        <f>[2]DD!J8</f>
        <v>651419000</v>
      </c>
    </row>
    <row r="14" spans="1:27" s="27" customFormat="1" ht="17.399999999999999" x14ac:dyDescent="0.3">
      <c r="A14" s="21">
        <v>1</v>
      </c>
      <c r="B14" s="21"/>
      <c r="C14" s="21"/>
      <c r="D14" s="21"/>
      <c r="E14" s="21"/>
      <c r="F14" s="21"/>
      <c r="G14" s="23"/>
      <c r="H14" s="22" t="s">
        <v>716</v>
      </c>
      <c r="I14" s="21"/>
      <c r="J14" s="22"/>
      <c r="K14" s="24" t="e">
        <f>K15+K29+K33+K39+K53</f>
        <v>#REF!</v>
      </c>
      <c r="L14" s="22"/>
      <c r="M14" s="20"/>
      <c r="N14" s="30"/>
      <c r="O14" s="25"/>
      <c r="P14" s="49">
        <f>[2]ADD25!G10</f>
        <v>593872275</v>
      </c>
      <c r="Q14" s="26">
        <f>[2]DD!J8</f>
        <v>651419000</v>
      </c>
      <c r="R14" s="26">
        <f>'[2]PAD1 '!H30</f>
        <v>550849967</v>
      </c>
      <c r="S14" s="26">
        <f>'[3]PAD1 '!G12</f>
        <v>28100000</v>
      </c>
      <c r="T14" s="26">
        <f>'[3]PENDAPATAN dan PENGELUARAN'!J6</f>
        <v>33600000</v>
      </c>
      <c r="U14" s="26"/>
      <c r="V14" s="26">
        <f>'[2]BHP PPR'!F8</f>
        <v>72531000</v>
      </c>
      <c r="W14" s="26">
        <f>[3]DD!J8</f>
        <v>626587000</v>
      </c>
      <c r="X14" s="26">
        <f>'[3]SILP PAD'!F8</f>
        <v>60761493.620000005</v>
      </c>
      <c r="Y14" s="26">
        <v>5000000</v>
      </c>
      <c r="Z14" s="26">
        <f>'[3]Kumpulan Silpa'!C10</f>
        <v>861347.09999999986</v>
      </c>
      <c r="AA14" s="50">
        <f>SUM(P14:Z14)-Q14-X14-Y14</f>
        <v>1906401589.0999999</v>
      </c>
    </row>
    <row r="15" spans="1:27" s="35" customFormat="1" ht="47.25" customHeight="1" x14ac:dyDescent="0.3">
      <c r="A15" s="31">
        <v>1</v>
      </c>
      <c r="B15" s="51">
        <v>1</v>
      </c>
      <c r="C15" s="31"/>
      <c r="D15" s="31"/>
      <c r="E15" s="31"/>
      <c r="F15" s="31"/>
      <c r="G15" s="32"/>
      <c r="H15" s="29" t="s">
        <v>692</v>
      </c>
      <c r="I15" s="31"/>
      <c r="J15" s="29"/>
      <c r="K15" s="33" t="e">
        <f>K16+K17+K18+K19+#REF!+K20+K21+K22+K23+K24+K25+K26+K27+K28+#REF!</f>
        <v>#REF!</v>
      </c>
      <c r="L15" s="29" t="s">
        <v>717</v>
      </c>
      <c r="M15" s="20"/>
      <c r="N15" s="30"/>
      <c r="O15" s="52"/>
      <c r="P15" s="53" t="e">
        <f>SUM(P16:P61)</f>
        <v>#REF!</v>
      </c>
      <c r="Q15" s="53" t="e">
        <f>SUM(Q16:Q229)</f>
        <v>#REF!</v>
      </c>
      <c r="R15" s="53" t="e">
        <f>SUM(R16:R61)</f>
        <v>#REF!</v>
      </c>
      <c r="S15" s="54">
        <f>SUM(S16:S229)</f>
        <v>0</v>
      </c>
      <c r="T15" s="54">
        <f>SUM(T16:T229)</f>
        <v>0</v>
      </c>
      <c r="U15" s="54"/>
      <c r="V15" s="54" t="e">
        <f>SUM(V16:V229)</f>
        <v>#REF!</v>
      </c>
      <c r="W15" s="54">
        <f>SUM(W16:W229)</f>
        <v>0</v>
      </c>
      <c r="X15" s="54">
        <f>SUM(X16:X229)</f>
        <v>0</v>
      </c>
      <c r="Y15" s="54" t="e">
        <f>SUM(Y16:Y229)</f>
        <v>#REF!</v>
      </c>
      <c r="Z15" s="54">
        <f>SUM(Z16:Z229)</f>
        <v>0</v>
      </c>
      <c r="AA15" s="50" t="e">
        <f>SUM(P15:Z15)</f>
        <v>#REF!</v>
      </c>
    </row>
    <row r="16" spans="1:27" s="63" customFormat="1" ht="15.6" x14ac:dyDescent="0.3">
      <c r="A16" s="55">
        <v>1</v>
      </c>
      <c r="B16" s="56">
        <v>1</v>
      </c>
      <c r="C16" s="56" t="s">
        <v>705</v>
      </c>
      <c r="D16" s="55"/>
      <c r="E16" s="55"/>
      <c r="F16" s="55"/>
      <c r="G16" s="57"/>
      <c r="H16" s="44" t="s">
        <v>718</v>
      </c>
      <c r="I16" s="55">
        <v>1</v>
      </c>
      <c r="J16" s="44" t="s">
        <v>719</v>
      </c>
      <c r="K16" s="43" t="e">
        <f>#REF!</f>
        <v>#REF!</v>
      </c>
      <c r="L16" s="44" t="s">
        <v>8</v>
      </c>
      <c r="M16" s="58"/>
      <c r="N16" s="59"/>
      <c r="O16" s="60"/>
      <c r="P16" s="61"/>
      <c r="Q16" s="61"/>
      <c r="R16" s="62"/>
      <c r="S16" s="62"/>
      <c r="T16" s="62"/>
      <c r="U16" s="62"/>
      <c r="V16" s="62"/>
    </row>
    <row r="17" spans="1:27" s="63" customFormat="1" ht="18" x14ac:dyDescent="0.35">
      <c r="A17" s="55">
        <v>1</v>
      </c>
      <c r="B17" s="56">
        <v>1</v>
      </c>
      <c r="C17" s="56" t="s">
        <v>706</v>
      </c>
      <c r="D17" s="55"/>
      <c r="E17" s="55"/>
      <c r="F17" s="55"/>
      <c r="G17" s="57"/>
      <c r="H17" s="44" t="s">
        <v>722</v>
      </c>
      <c r="I17" s="55"/>
      <c r="J17" s="44" t="s">
        <v>719</v>
      </c>
      <c r="K17" s="43" t="e">
        <f>#REF!</f>
        <v>#REF!</v>
      </c>
      <c r="L17" s="44" t="s">
        <v>8</v>
      </c>
      <c r="M17" s="58"/>
      <c r="N17" s="59"/>
      <c r="O17" s="60"/>
      <c r="P17" s="61"/>
      <c r="Q17" s="64"/>
      <c r="R17" s="62"/>
      <c r="S17" s="62"/>
      <c r="T17" s="62"/>
      <c r="U17" s="62"/>
      <c r="V17" s="62"/>
    </row>
    <row r="18" spans="1:27" s="46" customFormat="1" ht="18" x14ac:dyDescent="0.35">
      <c r="A18" s="42">
        <v>1</v>
      </c>
      <c r="B18" s="65">
        <v>1</v>
      </c>
      <c r="C18" s="65" t="s">
        <v>707</v>
      </c>
      <c r="D18" s="42"/>
      <c r="E18" s="42"/>
      <c r="F18" s="42"/>
      <c r="G18" s="66"/>
      <c r="H18" s="40" t="s">
        <v>724</v>
      </c>
      <c r="I18" s="42"/>
      <c r="J18" s="40" t="s">
        <v>719</v>
      </c>
      <c r="K18" s="47" t="e">
        <f>#REF!</f>
        <v>#REF!</v>
      </c>
      <c r="L18" s="44" t="s">
        <v>8</v>
      </c>
      <c r="M18" s="20"/>
      <c r="N18" s="30"/>
      <c r="O18" s="67"/>
      <c r="P18" s="68" t="e">
        <f>K18</f>
        <v>#REF!</v>
      </c>
      <c r="Q18" s="69"/>
      <c r="R18" s="68"/>
      <c r="S18" s="68"/>
      <c r="T18" s="70"/>
      <c r="U18" s="70"/>
      <c r="V18" s="70"/>
    </row>
    <row r="19" spans="1:27" s="46" customFormat="1" ht="31.2" x14ac:dyDescent="0.3">
      <c r="A19" s="42">
        <v>1</v>
      </c>
      <c r="B19" s="65">
        <v>1</v>
      </c>
      <c r="C19" s="65" t="s">
        <v>708</v>
      </c>
      <c r="D19" s="42"/>
      <c r="E19" s="42"/>
      <c r="F19" s="42"/>
      <c r="G19" s="66"/>
      <c r="H19" s="40" t="s">
        <v>728</v>
      </c>
      <c r="I19" s="42"/>
      <c r="J19" s="40" t="s">
        <v>188</v>
      </c>
      <c r="K19" s="47" t="e">
        <f>#REF!</f>
        <v>#REF!</v>
      </c>
      <c r="L19" s="40" t="s">
        <v>729</v>
      </c>
      <c r="M19" s="20"/>
      <c r="N19" s="30"/>
      <c r="O19" s="67"/>
      <c r="P19" s="75"/>
      <c r="Q19" s="75"/>
      <c r="R19" s="75"/>
      <c r="S19" s="75"/>
      <c r="T19" s="70"/>
      <c r="U19" s="70"/>
      <c r="V19" s="70"/>
      <c r="AA19" s="77"/>
    </row>
    <row r="20" spans="1:27" s="46" customFormat="1" ht="33.9" customHeight="1" x14ac:dyDescent="0.3">
      <c r="A20" s="42">
        <v>1</v>
      </c>
      <c r="B20" s="65">
        <v>1</v>
      </c>
      <c r="C20" s="65" t="s">
        <v>710</v>
      </c>
      <c r="D20" s="36">
        <v>5</v>
      </c>
      <c r="E20" s="42"/>
      <c r="F20" s="42"/>
      <c r="G20" s="66"/>
      <c r="H20" s="40" t="s">
        <v>736</v>
      </c>
      <c r="I20" s="42"/>
      <c r="J20" s="40" t="s">
        <v>188</v>
      </c>
      <c r="K20" s="47" t="e">
        <f>#REF!</f>
        <v>#REF!</v>
      </c>
      <c r="L20" s="44" t="s">
        <v>8</v>
      </c>
      <c r="M20" s="20"/>
      <c r="N20" s="30"/>
      <c r="O20" s="67"/>
      <c r="P20" s="68" t="e">
        <f>K20</f>
        <v>#REF!</v>
      </c>
      <c r="Q20" s="68"/>
      <c r="R20" s="70"/>
      <c r="S20" s="70"/>
      <c r="T20" s="70"/>
      <c r="U20" s="70"/>
      <c r="V20" s="70"/>
    </row>
    <row r="21" spans="1:27" s="46" customFormat="1" ht="15.6" x14ac:dyDescent="0.3">
      <c r="A21" s="42">
        <v>1</v>
      </c>
      <c r="B21" s="65">
        <v>1</v>
      </c>
      <c r="C21" s="65" t="s">
        <v>711</v>
      </c>
      <c r="D21" s="42"/>
      <c r="E21" s="42"/>
      <c r="F21" s="42"/>
      <c r="G21" s="66"/>
      <c r="H21" s="40" t="s">
        <v>738</v>
      </c>
      <c r="I21" s="42"/>
      <c r="J21" s="40" t="s">
        <v>188</v>
      </c>
      <c r="K21" s="47" t="e">
        <f>#REF!</f>
        <v>#REF!</v>
      </c>
      <c r="L21" s="44" t="s">
        <v>8</v>
      </c>
      <c r="M21" s="20"/>
      <c r="N21" s="30"/>
      <c r="O21" s="67"/>
      <c r="P21" s="68" t="e">
        <f>K21</f>
        <v>#REF!</v>
      </c>
      <c r="Q21" s="68"/>
      <c r="R21" s="70"/>
      <c r="S21" s="70"/>
      <c r="T21" s="70"/>
      <c r="U21" s="70"/>
      <c r="V21" s="70"/>
    </row>
    <row r="22" spans="1:27" s="86" customFormat="1" ht="15.6" x14ac:dyDescent="0.3">
      <c r="A22" s="36">
        <v>1</v>
      </c>
      <c r="B22" s="36">
        <v>1</v>
      </c>
      <c r="C22" s="36">
        <v>90</v>
      </c>
      <c r="D22" s="42"/>
      <c r="E22" s="42"/>
      <c r="F22" s="42"/>
      <c r="G22" s="42"/>
      <c r="H22" s="40" t="s">
        <v>739</v>
      </c>
      <c r="I22" s="42"/>
      <c r="J22" s="40" t="s">
        <v>719</v>
      </c>
      <c r="K22" s="84">
        <f>'[2]PAD1 '!H31</f>
        <v>114000000</v>
      </c>
      <c r="L22" s="44" t="s">
        <v>740</v>
      </c>
      <c r="M22" s="20"/>
      <c r="N22" s="30"/>
      <c r="O22" s="67"/>
      <c r="P22" s="67"/>
      <c r="Q22" s="67"/>
      <c r="R22" s="85">
        <f>K22</f>
        <v>114000000</v>
      </c>
      <c r="S22" s="85"/>
      <c r="T22" s="40"/>
      <c r="U22" s="40"/>
      <c r="V22" s="40"/>
    </row>
    <row r="23" spans="1:27" s="86" customFormat="1" ht="15.6" x14ac:dyDescent="0.3">
      <c r="A23" s="36">
        <v>1</v>
      </c>
      <c r="B23" s="36">
        <v>1</v>
      </c>
      <c r="C23" s="36">
        <v>91</v>
      </c>
      <c r="D23" s="42"/>
      <c r="E23" s="42"/>
      <c r="F23" s="42"/>
      <c r="G23" s="42"/>
      <c r="H23" s="40" t="s">
        <v>742</v>
      </c>
      <c r="I23" s="42"/>
      <c r="J23" s="40" t="s">
        <v>719</v>
      </c>
      <c r="K23" s="84" t="e">
        <f>#REF!</f>
        <v>#REF!</v>
      </c>
      <c r="L23" s="44" t="s">
        <v>743</v>
      </c>
      <c r="M23" s="20"/>
      <c r="N23" s="30"/>
      <c r="O23" s="67"/>
      <c r="P23" s="67"/>
      <c r="Q23" s="67"/>
      <c r="R23" s="85"/>
      <c r="S23" s="85"/>
      <c r="T23" s="40"/>
      <c r="U23" s="40"/>
      <c r="V23" s="40"/>
    </row>
    <row r="24" spans="1:27" s="86" customFormat="1" ht="31.2" x14ac:dyDescent="0.3">
      <c r="A24" s="36">
        <v>1</v>
      </c>
      <c r="B24" s="36">
        <v>1</v>
      </c>
      <c r="C24" s="36">
        <v>92</v>
      </c>
      <c r="D24" s="42"/>
      <c r="E24" s="42"/>
      <c r="F24" s="42"/>
      <c r="G24" s="42"/>
      <c r="H24" s="40" t="s">
        <v>745</v>
      </c>
      <c r="I24" s="42"/>
      <c r="J24" s="40" t="s">
        <v>719</v>
      </c>
      <c r="K24" s="84" t="e">
        <f>#REF!</f>
        <v>#REF!</v>
      </c>
      <c r="L24" s="44" t="s">
        <v>77</v>
      </c>
      <c r="M24" s="20"/>
      <c r="N24" s="30"/>
      <c r="O24" s="67"/>
      <c r="P24" s="67"/>
      <c r="Q24" s="67"/>
      <c r="R24" s="85" t="e">
        <f>K24</f>
        <v>#REF!</v>
      </c>
      <c r="S24" s="85"/>
      <c r="T24" s="40"/>
      <c r="U24" s="40"/>
      <c r="V24" s="40"/>
    </row>
    <row r="25" spans="1:27" s="86" customFormat="1" ht="15.6" x14ac:dyDescent="0.3">
      <c r="A25" s="36">
        <v>1</v>
      </c>
      <c r="B25" s="36">
        <v>1</v>
      </c>
      <c r="C25" s="36">
        <v>93</v>
      </c>
      <c r="D25" s="42"/>
      <c r="E25" s="42"/>
      <c r="F25" s="42"/>
      <c r="G25" s="42"/>
      <c r="H25" s="40" t="s">
        <v>746</v>
      </c>
      <c r="I25" s="42"/>
      <c r="J25" s="40" t="s">
        <v>719</v>
      </c>
      <c r="K25" s="84" t="e">
        <f>#REF!</f>
        <v>#REF!</v>
      </c>
      <c r="L25" s="44"/>
      <c r="M25" s="20"/>
      <c r="N25" s="30"/>
      <c r="O25" s="67"/>
      <c r="P25" s="67"/>
      <c r="Q25" s="67"/>
      <c r="R25" s="40"/>
      <c r="S25" s="40"/>
      <c r="T25" s="85"/>
      <c r="U25" s="85"/>
      <c r="V25" s="85"/>
      <c r="W25" s="87"/>
      <c r="X25" s="87"/>
      <c r="Y25" s="87"/>
      <c r="Z25" s="87"/>
    </row>
    <row r="26" spans="1:27" s="86" customFormat="1" ht="15.6" x14ac:dyDescent="0.3">
      <c r="A26" s="36">
        <v>1</v>
      </c>
      <c r="B26" s="36">
        <v>1</v>
      </c>
      <c r="C26" s="36">
        <v>94</v>
      </c>
      <c r="D26" s="42"/>
      <c r="E26" s="42"/>
      <c r="F26" s="42"/>
      <c r="G26" s="42"/>
      <c r="H26" s="40" t="s">
        <v>747</v>
      </c>
      <c r="I26" s="42"/>
      <c r="J26" s="40" t="s">
        <v>719</v>
      </c>
      <c r="K26" s="84" t="e">
        <f>#REF!</f>
        <v>#REF!</v>
      </c>
      <c r="L26" s="44" t="s">
        <v>77</v>
      </c>
      <c r="M26" s="20"/>
      <c r="N26" s="30"/>
      <c r="O26" s="67"/>
      <c r="P26" s="67"/>
      <c r="Q26" s="67"/>
      <c r="R26" s="85"/>
      <c r="S26" s="85"/>
      <c r="T26" s="40"/>
      <c r="U26" s="40"/>
      <c r="V26" s="40"/>
    </row>
    <row r="27" spans="1:27" s="46" customFormat="1" ht="15.6" x14ac:dyDescent="0.3">
      <c r="A27" s="36">
        <v>1</v>
      </c>
      <c r="B27" s="76">
        <v>1</v>
      </c>
      <c r="C27" s="76">
        <v>95</v>
      </c>
      <c r="D27" s="42"/>
      <c r="E27" s="42"/>
      <c r="F27" s="65"/>
      <c r="G27" s="88"/>
      <c r="H27" s="40" t="s">
        <v>748</v>
      </c>
      <c r="I27" s="42"/>
      <c r="J27" s="40" t="s">
        <v>719</v>
      </c>
      <c r="K27" s="47" t="e">
        <f>#REF!</f>
        <v>#REF!</v>
      </c>
      <c r="L27" s="40" t="s">
        <v>749</v>
      </c>
      <c r="M27" s="20"/>
      <c r="N27" s="30"/>
      <c r="O27" s="67"/>
      <c r="P27" s="68"/>
      <c r="Q27" s="68"/>
      <c r="R27" s="70"/>
      <c r="S27" s="70"/>
      <c r="T27" s="70"/>
      <c r="U27" s="70"/>
      <c r="V27" s="70"/>
    </row>
    <row r="28" spans="1:27" s="46" customFormat="1" ht="15.6" x14ac:dyDescent="0.3">
      <c r="A28" s="36">
        <v>1</v>
      </c>
      <c r="B28" s="76">
        <v>1</v>
      </c>
      <c r="C28" s="76">
        <v>96</v>
      </c>
      <c r="D28" s="42"/>
      <c r="E28" s="42"/>
      <c r="F28" s="65"/>
      <c r="G28" s="88"/>
      <c r="H28" s="40" t="s">
        <v>750</v>
      </c>
      <c r="I28" s="42"/>
      <c r="J28" s="40" t="s">
        <v>188</v>
      </c>
      <c r="K28" s="47" t="e">
        <f>#REF!</f>
        <v>#REF!</v>
      </c>
      <c r="L28" s="44" t="s">
        <v>77</v>
      </c>
      <c r="M28" s="20"/>
      <c r="N28" s="30"/>
      <c r="O28" s="67"/>
      <c r="P28" s="68"/>
      <c r="Q28" s="68"/>
      <c r="R28" s="70"/>
      <c r="S28" s="70"/>
      <c r="T28" s="70"/>
      <c r="U28" s="70"/>
      <c r="V28" s="70"/>
    </row>
    <row r="29" spans="1:27" s="35" customFormat="1" ht="15.6" x14ac:dyDescent="0.3">
      <c r="A29" s="31">
        <v>1</v>
      </c>
      <c r="B29" s="51">
        <v>2</v>
      </c>
      <c r="C29" s="51"/>
      <c r="D29" s="31"/>
      <c r="E29" s="31"/>
      <c r="F29" s="51"/>
      <c r="G29" s="89"/>
      <c r="H29" s="29" t="s">
        <v>751</v>
      </c>
      <c r="I29" s="31"/>
      <c r="J29" s="29"/>
      <c r="K29" s="33" t="e">
        <f>K30+K31+K32</f>
        <v>#REF!</v>
      </c>
      <c r="L29" s="29" t="s">
        <v>752</v>
      </c>
      <c r="M29" s="20"/>
      <c r="N29" s="30"/>
      <c r="O29" s="67"/>
      <c r="P29" s="53"/>
      <c r="Q29" s="53"/>
      <c r="R29" s="90"/>
      <c r="S29" s="90"/>
      <c r="T29" s="90"/>
      <c r="U29" s="90"/>
      <c r="V29" s="90"/>
    </row>
    <row r="30" spans="1:27" s="46" customFormat="1" ht="15.6" x14ac:dyDescent="0.3">
      <c r="A30" s="42">
        <v>1</v>
      </c>
      <c r="B30" s="65">
        <v>2</v>
      </c>
      <c r="C30" s="65" t="s">
        <v>705</v>
      </c>
      <c r="D30" s="42"/>
      <c r="E30" s="42"/>
      <c r="F30" s="65"/>
      <c r="G30" s="88"/>
      <c r="H30" s="40" t="s">
        <v>753</v>
      </c>
      <c r="I30" s="42"/>
      <c r="J30" s="40" t="s">
        <v>754</v>
      </c>
      <c r="K30" s="47" t="e">
        <f>#REF!+#REF!</f>
        <v>#REF!</v>
      </c>
      <c r="L30" s="37" t="s">
        <v>755</v>
      </c>
      <c r="M30" s="20"/>
      <c r="N30" s="30"/>
      <c r="O30" s="67"/>
      <c r="P30" s="68"/>
      <c r="Q30" s="68"/>
      <c r="R30" s="70"/>
      <c r="S30" s="70"/>
      <c r="T30" s="70"/>
      <c r="U30" s="70"/>
      <c r="V30" s="70"/>
    </row>
    <row r="31" spans="1:27" s="46" customFormat="1" ht="15.6" x14ac:dyDescent="0.3">
      <c r="A31" s="42">
        <v>1</v>
      </c>
      <c r="B31" s="65">
        <v>2</v>
      </c>
      <c r="C31" s="65" t="s">
        <v>706</v>
      </c>
      <c r="D31" s="42"/>
      <c r="E31" s="42"/>
      <c r="F31" s="65"/>
      <c r="G31" s="88"/>
      <c r="H31" s="40" t="s">
        <v>757</v>
      </c>
      <c r="I31" s="42"/>
      <c r="J31" s="40" t="s">
        <v>758</v>
      </c>
      <c r="K31" s="47" t="e">
        <f>#REF!</f>
        <v>#REF!</v>
      </c>
      <c r="L31" s="44" t="e">
        <f>#REF!</f>
        <v>#REF!</v>
      </c>
      <c r="M31" s="20"/>
      <c r="N31" s="30"/>
      <c r="O31" s="67"/>
      <c r="P31" s="68"/>
      <c r="Q31" s="68"/>
      <c r="R31" s="91"/>
      <c r="S31" s="70"/>
      <c r="T31" s="70"/>
      <c r="U31" s="70"/>
      <c r="V31" s="70"/>
    </row>
    <row r="32" spans="1:27" s="46" customFormat="1" ht="15.6" x14ac:dyDescent="0.3">
      <c r="A32" s="42">
        <v>1</v>
      </c>
      <c r="B32" s="65">
        <v>2</v>
      </c>
      <c r="C32" s="65" t="s">
        <v>707</v>
      </c>
      <c r="D32" s="42"/>
      <c r="E32" s="42"/>
      <c r="F32" s="42"/>
      <c r="G32" s="66"/>
      <c r="H32" s="40" t="s">
        <v>760</v>
      </c>
      <c r="I32" s="42"/>
      <c r="J32" s="40" t="s">
        <v>188</v>
      </c>
      <c r="K32" s="47" t="e">
        <f>#REF!</f>
        <v>#REF!</v>
      </c>
      <c r="L32" s="48" t="s">
        <v>761</v>
      </c>
      <c r="M32" s="20"/>
      <c r="N32" s="30"/>
      <c r="O32" s="67"/>
      <c r="P32" s="68"/>
      <c r="Q32" s="68"/>
      <c r="R32" s="70"/>
      <c r="S32" s="70"/>
      <c r="T32" s="70"/>
      <c r="U32" s="70"/>
      <c r="V32" s="70"/>
    </row>
    <row r="33" spans="1:22" s="35" customFormat="1" ht="31.2" x14ac:dyDescent="0.3">
      <c r="A33" s="31">
        <v>1</v>
      </c>
      <c r="B33" s="51">
        <v>3</v>
      </c>
      <c r="C33" s="51"/>
      <c r="D33" s="31"/>
      <c r="E33" s="31"/>
      <c r="F33" s="51"/>
      <c r="G33" s="89"/>
      <c r="H33" s="29" t="s">
        <v>762</v>
      </c>
      <c r="I33" s="31"/>
      <c r="J33" s="29"/>
      <c r="K33" s="33" t="e">
        <f>K34+K35+K36+K37+K38</f>
        <v>#REF!</v>
      </c>
      <c r="L33" s="92" t="s">
        <v>759</v>
      </c>
      <c r="M33" s="20"/>
      <c r="N33" s="30"/>
      <c r="O33" s="67"/>
      <c r="P33" s="53"/>
      <c r="Q33" s="53"/>
      <c r="R33" s="90"/>
      <c r="S33" s="90"/>
      <c r="T33" s="90"/>
      <c r="U33" s="90"/>
      <c r="V33" s="90"/>
    </row>
    <row r="34" spans="1:22" s="46" customFormat="1" ht="31.2" x14ac:dyDescent="0.3">
      <c r="A34" s="42">
        <v>1</v>
      </c>
      <c r="B34" s="65">
        <v>3</v>
      </c>
      <c r="C34" s="65" t="s">
        <v>705</v>
      </c>
      <c r="D34" s="42"/>
      <c r="E34" s="42"/>
      <c r="F34" s="65"/>
      <c r="G34" s="88"/>
      <c r="H34" s="40" t="s">
        <v>763</v>
      </c>
      <c r="I34" s="42"/>
      <c r="J34" s="40" t="s">
        <v>188</v>
      </c>
      <c r="K34" s="47" t="e">
        <f>#REF!+#REF!</f>
        <v>#REF!</v>
      </c>
      <c r="L34" s="40"/>
      <c r="M34" s="20"/>
      <c r="N34" s="30"/>
      <c r="O34" s="67"/>
      <c r="P34" s="68"/>
      <c r="Q34" s="68"/>
      <c r="R34" s="70"/>
      <c r="S34" s="70"/>
      <c r="T34" s="70"/>
      <c r="U34" s="70"/>
      <c r="V34" s="70"/>
    </row>
    <row r="35" spans="1:22" s="46" customFormat="1" ht="31.2" x14ac:dyDescent="0.3">
      <c r="A35" s="42">
        <v>1</v>
      </c>
      <c r="B35" s="65">
        <v>3</v>
      </c>
      <c r="C35" s="65" t="s">
        <v>706</v>
      </c>
      <c r="D35" s="42"/>
      <c r="E35" s="42"/>
      <c r="F35" s="65"/>
      <c r="G35" s="88"/>
      <c r="H35" s="40" t="s">
        <v>764</v>
      </c>
      <c r="I35" s="42"/>
      <c r="J35" s="40" t="s">
        <v>188</v>
      </c>
      <c r="K35" s="47" t="e">
        <f>#REF!</f>
        <v>#REF!</v>
      </c>
      <c r="L35" s="92" t="s">
        <v>765</v>
      </c>
      <c r="M35" s="20"/>
      <c r="N35" s="30"/>
      <c r="O35" s="67"/>
      <c r="P35" s="68"/>
      <c r="Q35" s="68"/>
      <c r="R35" s="70"/>
      <c r="S35" s="70"/>
      <c r="T35" s="70"/>
      <c r="U35" s="70"/>
      <c r="V35" s="70"/>
    </row>
    <row r="36" spans="1:22" s="46" customFormat="1" ht="15.6" x14ac:dyDescent="0.3">
      <c r="A36" s="94">
        <v>1</v>
      </c>
      <c r="B36" s="95">
        <v>3</v>
      </c>
      <c r="C36" s="95" t="s">
        <v>707</v>
      </c>
      <c r="D36" s="42"/>
      <c r="E36" s="42"/>
      <c r="F36" s="65"/>
      <c r="G36" s="88"/>
      <c r="H36" s="96" t="s">
        <v>766</v>
      </c>
      <c r="I36" s="42"/>
      <c r="J36" s="40" t="s">
        <v>188</v>
      </c>
      <c r="K36" s="47" t="e">
        <f>#REF!</f>
        <v>#REF!</v>
      </c>
      <c r="L36" s="40"/>
      <c r="M36" s="20"/>
      <c r="N36" s="30"/>
      <c r="O36" s="67"/>
      <c r="P36" s="68"/>
      <c r="Q36" s="68"/>
      <c r="R36" s="70"/>
      <c r="S36" s="70"/>
      <c r="T36" s="70"/>
      <c r="U36" s="70"/>
      <c r="V36" s="70"/>
    </row>
    <row r="37" spans="1:22" s="46" customFormat="1" ht="31.2" x14ac:dyDescent="0.3">
      <c r="A37" s="42">
        <v>1</v>
      </c>
      <c r="B37" s="65">
        <v>3</v>
      </c>
      <c r="C37" s="65" t="s">
        <v>708</v>
      </c>
      <c r="D37" s="42"/>
      <c r="E37" s="42"/>
      <c r="F37" s="42"/>
      <c r="G37" s="66"/>
      <c r="H37" s="97" t="s">
        <v>767</v>
      </c>
      <c r="I37" s="42"/>
      <c r="J37" s="40" t="s">
        <v>97</v>
      </c>
      <c r="K37" s="47" t="e">
        <f>#REF!</f>
        <v>#REF!</v>
      </c>
      <c r="L37" s="40"/>
      <c r="M37" s="20"/>
      <c r="N37" s="30"/>
      <c r="O37" s="67"/>
      <c r="P37" s="68"/>
      <c r="Q37" s="68"/>
      <c r="R37" s="70"/>
      <c r="S37" s="70"/>
      <c r="T37" s="70"/>
      <c r="U37" s="70"/>
      <c r="V37" s="70"/>
    </row>
    <row r="38" spans="1:22" s="46" customFormat="1" ht="15.6" x14ac:dyDescent="0.3">
      <c r="A38" s="42">
        <v>1</v>
      </c>
      <c r="B38" s="65">
        <v>3</v>
      </c>
      <c r="C38" s="65" t="s">
        <v>709</v>
      </c>
      <c r="D38" s="42"/>
      <c r="E38" s="42"/>
      <c r="F38" s="42"/>
      <c r="G38" s="66"/>
      <c r="H38" s="96" t="s">
        <v>768</v>
      </c>
      <c r="I38" s="42"/>
      <c r="J38" s="40" t="s">
        <v>188</v>
      </c>
      <c r="K38" s="47" t="e">
        <f>#REF!</f>
        <v>#REF!</v>
      </c>
      <c r="L38" s="40"/>
      <c r="M38" s="20"/>
      <c r="N38" s="30"/>
      <c r="O38" s="67"/>
      <c r="P38" s="68"/>
      <c r="Q38" s="68"/>
      <c r="R38" s="70"/>
      <c r="S38" s="70"/>
      <c r="T38" s="70"/>
      <c r="U38" s="70"/>
      <c r="V38" s="70"/>
    </row>
    <row r="39" spans="1:22" s="27" customFormat="1" ht="15.6" x14ac:dyDescent="0.3">
      <c r="A39" s="98">
        <v>1</v>
      </c>
      <c r="B39" s="99">
        <v>4</v>
      </c>
      <c r="C39" s="100"/>
      <c r="D39" s="98"/>
      <c r="E39" s="98"/>
      <c r="F39" s="98"/>
      <c r="G39" s="101"/>
      <c r="H39" s="102" t="s">
        <v>769</v>
      </c>
      <c r="I39" s="98"/>
      <c r="J39" s="103"/>
      <c r="K39" s="104" t="e">
        <f>K40+K41+K42+K43+K44+K45+K46+K47+K48+K49+K50+K51+K52</f>
        <v>#REF!</v>
      </c>
      <c r="L39" s="103" t="s">
        <v>770</v>
      </c>
      <c r="M39" s="20"/>
      <c r="N39" s="30"/>
      <c r="O39" s="67"/>
      <c r="P39" s="105"/>
      <c r="Q39" s="105"/>
      <c r="R39" s="106"/>
      <c r="S39" s="106"/>
      <c r="T39" s="106"/>
      <c r="U39" s="106"/>
      <c r="V39" s="106"/>
    </row>
    <row r="40" spans="1:22" s="46" customFormat="1" ht="35.25" customHeight="1" x14ac:dyDescent="0.3">
      <c r="A40" s="107">
        <v>1</v>
      </c>
      <c r="B40" s="95">
        <v>4</v>
      </c>
      <c r="C40" s="107" t="s">
        <v>705</v>
      </c>
      <c r="D40" s="42"/>
      <c r="E40" s="42"/>
      <c r="F40" s="42"/>
      <c r="G40" s="66"/>
      <c r="H40" s="108" t="s">
        <v>771</v>
      </c>
      <c r="I40" s="109"/>
      <c r="J40" s="40" t="s">
        <v>97</v>
      </c>
      <c r="K40" s="47" t="e">
        <f>#REF!</f>
        <v>#REF!</v>
      </c>
      <c r="L40" s="44" t="s">
        <v>8</v>
      </c>
      <c r="M40" s="20"/>
      <c r="N40" s="30"/>
      <c r="O40" s="67"/>
      <c r="P40" s="68"/>
      <c r="Q40" s="68"/>
      <c r="R40" s="70"/>
      <c r="S40" s="70"/>
      <c r="T40" s="70"/>
      <c r="U40" s="70"/>
      <c r="V40" s="70"/>
    </row>
    <row r="41" spans="1:22" s="46" customFormat="1" ht="31.2" x14ac:dyDescent="0.3">
      <c r="A41" s="107">
        <v>1</v>
      </c>
      <c r="B41" s="95">
        <v>4</v>
      </c>
      <c r="C41" s="111" t="s">
        <v>706</v>
      </c>
      <c r="D41" s="42"/>
      <c r="E41" s="42"/>
      <c r="F41" s="42"/>
      <c r="G41" s="66"/>
      <c r="H41" s="108" t="s">
        <v>772</v>
      </c>
      <c r="I41" s="112"/>
      <c r="J41" s="40" t="s">
        <v>97</v>
      </c>
      <c r="K41" s="47" t="e">
        <f>#REF!</f>
        <v>#REF!</v>
      </c>
      <c r="L41" s="37" t="s">
        <v>773</v>
      </c>
      <c r="M41" s="20"/>
      <c r="N41" s="30"/>
      <c r="O41" s="67"/>
      <c r="P41" s="68"/>
      <c r="Q41" s="68"/>
      <c r="R41" s="70"/>
      <c r="S41" s="70"/>
      <c r="T41" s="70"/>
      <c r="U41" s="70"/>
      <c r="V41" s="70"/>
    </row>
    <row r="42" spans="1:22" s="46" customFormat="1" ht="15.6" x14ac:dyDescent="0.3">
      <c r="A42" s="107">
        <v>1</v>
      </c>
      <c r="B42" s="95">
        <v>4</v>
      </c>
      <c r="C42" s="107" t="s">
        <v>707</v>
      </c>
      <c r="D42" s="36">
        <v>5</v>
      </c>
      <c r="E42" s="42"/>
      <c r="F42" s="42"/>
      <c r="G42" s="66"/>
      <c r="H42" s="113" t="s">
        <v>775</v>
      </c>
      <c r="I42" s="112"/>
      <c r="J42" s="40" t="s">
        <v>188</v>
      </c>
      <c r="K42" s="47" t="e">
        <f>#REF!</f>
        <v>#REF!</v>
      </c>
      <c r="L42" s="48" t="s">
        <v>8</v>
      </c>
      <c r="M42" s="20"/>
      <c r="N42" s="30"/>
      <c r="O42" s="67"/>
      <c r="P42" s="68" t="e">
        <f>K42</f>
        <v>#REF!</v>
      </c>
      <c r="Q42" s="68"/>
      <c r="R42" s="91"/>
      <c r="S42" s="91"/>
      <c r="T42" s="70"/>
      <c r="U42" s="70"/>
      <c r="V42" s="70"/>
    </row>
    <row r="43" spans="1:22" s="46" customFormat="1" ht="31.2" x14ac:dyDescent="0.3">
      <c r="A43" s="107">
        <v>1</v>
      </c>
      <c r="B43" s="95">
        <v>4</v>
      </c>
      <c r="C43" s="111" t="s">
        <v>708</v>
      </c>
      <c r="D43" s="42"/>
      <c r="E43" s="42"/>
      <c r="F43" s="42"/>
      <c r="G43" s="66"/>
      <c r="H43" s="108" t="s">
        <v>776</v>
      </c>
      <c r="I43" s="112"/>
      <c r="J43" s="40" t="s">
        <v>188</v>
      </c>
      <c r="K43" s="47" t="e">
        <f>#REF!</f>
        <v>#REF!</v>
      </c>
      <c r="L43" s="44" t="s">
        <v>759</v>
      </c>
      <c r="M43" s="20"/>
      <c r="N43" s="30"/>
      <c r="O43" s="67"/>
      <c r="P43" s="68"/>
      <c r="Q43" s="68"/>
      <c r="R43" s="78" t="e">
        <f>K43</f>
        <v>#REF!</v>
      </c>
      <c r="S43" s="78"/>
      <c r="T43" s="70"/>
      <c r="U43" s="70"/>
      <c r="V43" s="70"/>
    </row>
    <row r="44" spans="1:22" s="46" customFormat="1" ht="15.6" x14ac:dyDescent="0.3">
      <c r="A44" s="107">
        <v>1</v>
      </c>
      <c r="B44" s="95">
        <v>4</v>
      </c>
      <c r="C44" s="107" t="s">
        <v>709</v>
      </c>
      <c r="D44" s="42"/>
      <c r="E44" s="42"/>
      <c r="F44" s="42"/>
      <c r="G44" s="66"/>
      <c r="H44" s="96" t="s">
        <v>777</v>
      </c>
      <c r="I44" s="42"/>
      <c r="J44" s="40" t="s">
        <v>188</v>
      </c>
      <c r="K44" s="47" t="e">
        <f>#REF!</f>
        <v>#REF!</v>
      </c>
      <c r="L44" s="40"/>
      <c r="M44" s="20"/>
      <c r="N44" s="30"/>
      <c r="O44" s="67"/>
      <c r="P44" s="68"/>
      <c r="Q44" s="68"/>
      <c r="R44" s="70"/>
      <c r="S44" s="70"/>
      <c r="T44" s="70"/>
      <c r="U44" s="70"/>
      <c r="V44" s="70"/>
    </row>
    <row r="45" spans="1:22" s="46" customFormat="1" ht="31.2" x14ac:dyDescent="0.3">
      <c r="A45" s="114">
        <v>1</v>
      </c>
      <c r="B45" s="95">
        <v>4</v>
      </c>
      <c r="C45" s="115" t="s">
        <v>710</v>
      </c>
      <c r="D45" s="42"/>
      <c r="E45" s="42"/>
      <c r="F45" s="42"/>
      <c r="G45" s="66"/>
      <c r="H45" s="108" t="s">
        <v>778</v>
      </c>
      <c r="I45" s="112"/>
      <c r="J45" s="40" t="s">
        <v>188</v>
      </c>
      <c r="K45" s="47" t="e">
        <f>#REF!</f>
        <v>#REF!</v>
      </c>
      <c r="L45" s="40"/>
      <c r="M45" s="20"/>
      <c r="N45" s="30"/>
      <c r="O45" s="67"/>
      <c r="P45" s="68"/>
      <c r="Q45" s="68"/>
      <c r="R45" s="70"/>
      <c r="S45" s="70"/>
      <c r="T45" s="70"/>
      <c r="U45" s="70"/>
      <c r="V45" s="70"/>
    </row>
    <row r="46" spans="1:22" s="46" customFormat="1" ht="49.5" customHeight="1" x14ac:dyDescent="0.3">
      <c r="A46" s="114">
        <v>1</v>
      </c>
      <c r="B46" s="95">
        <v>4</v>
      </c>
      <c r="C46" s="114" t="s">
        <v>711</v>
      </c>
      <c r="D46" s="42"/>
      <c r="E46" s="42"/>
      <c r="F46" s="42"/>
      <c r="G46" s="66"/>
      <c r="H46" s="108" t="s">
        <v>779</v>
      </c>
      <c r="I46" s="112"/>
      <c r="J46" s="40" t="s">
        <v>188</v>
      </c>
      <c r="K46" s="47" t="e">
        <f>#REF!</f>
        <v>#REF!</v>
      </c>
      <c r="L46" s="40"/>
      <c r="M46" s="20"/>
      <c r="N46" s="30"/>
      <c r="O46" s="67"/>
      <c r="P46" s="68"/>
      <c r="Q46" s="68"/>
      <c r="R46" s="70"/>
      <c r="S46" s="70"/>
      <c r="T46" s="70"/>
      <c r="U46" s="70"/>
      <c r="V46" s="70"/>
    </row>
    <row r="47" spans="1:22" s="46" customFormat="1" ht="15.6" x14ac:dyDescent="0.3">
      <c r="A47" s="107">
        <v>1</v>
      </c>
      <c r="B47" s="95">
        <v>4</v>
      </c>
      <c r="C47" s="111" t="s">
        <v>712</v>
      </c>
      <c r="D47" s="36"/>
      <c r="E47" s="42"/>
      <c r="F47" s="42"/>
      <c r="G47" s="66"/>
      <c r="H47" s="96" t="s">
        <v>780</v>
      </c>
      <c r="I47" s="42"/>
      <c r="J47" s="40" t="s">
        <v>188</v>
      </c>
      <c r="K47" s="47" t="e">
        <f>#REF!+#REF!</f>
        <v>#REF!</v>
      </c>
      <c r="L47" s="40"/>
      <c r="M47" s="20"/>
      <c r="N47" s="30"/>
      <c r="O47" s="67"/>
      <c r="P47" s="68"/>
      <c r="Q47" s="68"/>
      <c r="R47" s="70"/>
      <c r="S47" s="70"/>
      <c r="T47" s="70"/>
      <c r="U47" s="70"/>
      <c r="V47" s="70"/>
    </row>
    <row r="48" spans="1:22" s="46" customFormat="1" ht="33" customHeight="1" x14ac:dyDescent="0.3">
      <c r="A48" s="114">
        <v>1</v>
      </c>
      <c r="B48" s="95">
        <v>4</v>
      </c>
      <c r="C48" s="114" t="s">
        <v>731</v>
      </c>
      <c r="D48" s="42"/>
      <c r="E48" s="42"/>
      <c r="F48" s="42"/>
      <c r="G48" s="66"/>
      <c r="H48" s="108" t="s">
        <v>781</v>
      </c>
      <c r="I48" s="112"/>
      <c r="J48" s="40" t="s">
        <v>188</v>
      </c>
      <c r="K48" s="47" t="e">
        <f>#REF!</f>
        <v>#REF!</v>
      </c>
      <c r="L48" s="40"/>
      <c r="M48" s="20"/>
      <c r="N48" s="30"/>
      <c r="O48" s="67"/>
      <c r="P48" s="68"/>
      <c r="Q48" s="68"/>
      <c r="R48" s="70"/>
      <c r="S48" s="70"/>
      <c r="T48" s="70"/>
      <c r="U48" s="70"/>
      <c r="V48" s="70"/>
    </row>
    <row r="49" spans="1:26" s="46" customFormat="1" ht="31.2" x14ac:dyDescent="0.3">
      <c r="A49" s="114">
        <v>1</v>
      </c>
      <c r="B49" s="95">
        <v>4</v>
      </c>
      <c r="C49" s="115" t="s">
        <v>732</v>
      </c>
      <c r="D49" s="36"/>
      <c r="E49" s="42"/>
      <c r="F49" s="42"/>
      <c r="G49" s="66"/>
      <c r="H49" s="108" t="s">
        <v>782</v>
      </c>
      <c r="I49" s="112">
        <v>2</v>
      </c>
      <c r="J49" s="40" t="s">
        <v>188</v>
      </c>
      <c r="K49" s="47" t="e">
        <f>#REF!</f>
        <v>#REF!</v>
      </c>
      <c r="L49" s="40"/>
      <c r="M49" s="20"/>
      <c r="N49" s="30"/>
      <c r="O49" s="67"/>
      <c r="P49" s="68"/>
      <c r="Q49" s="68"/>
      <c r="R49" s="70"/>
      <c r="S49" s="70"/>
      <c r="T49" s="70"/>
      <c r="U49" s="70"/>
      <c r="V49" s="70"/>
    </row>
    <row r="50" spans="1:26" s="46" customFormat="1" ht="22.5" customHeight="1" x14ac:dyDescent="0.3">
      <c r="A50" s="114">
        <v>1</v>
      </c>
      <c r="B50" s="95">
        <v>4</v>
      </c>
      <c r="C50" s="114" t="s">
        <v>733</v>
      </c>
      <c r="D50" s="36"/>
      <c r="E50" s="42"/>
      <c r="F50" s="42"/>
      <c r="G50" s="66"/>
      <c r="H50" s="108" t="s">
        <v>783</v>
      </c>
      <c r="I50" s="112"/>
      <c r="J50" s="40" t="s">
        <v>784</v>
      </c>
      <c r="K50" s="47" t="e">
        <f>#REF!</f>
        <v>#REF!</v>
      </c>
      <c r="L50" s="40"/>
      <c r="M50" s="20"/>
      <c r="N50" s="30"/>
      <c r="O50" s="67"/>
      <c r="P50" s="68"/>
      <c r="Q50" s="68"/>
      <c r="R50" s="70"/>
      <c r="S50" s="70"/>
      <c r="T50" s="70"/>
      <c r="U50" s="70"/>
      <c r="V50" s="70"/>
    </row>
    <row r="51" spans="1:26" s="27" customFormat="1" ht="15.6" x14ac:dyDescent="0.3">
      <c r="A51" s="116">
        <v>1</v>
      </c>
      <c r="B51" s="117">
        <v>4</v>
      </c>
      <c r="C51" s="116">
        <v>90</v>
      </c>
      <c r="D51" s="21"/>
      <c r="E51" s="21"/>
      <c r="F51" s="21"/>
      <c r="G51" s="118"/>
      <c r="H51" s="119" t="s">
        <v>785</v>
      </c>
      <c r="I51" s="120"/>
      <c r="J51" s="119" t="s">
        <v>188</v>
      </c>
      <c r="K51" s="121" t="e">
        <f>#REF!</f>
        <v>#REF!</v>
      </c>
      <c r="L51" s="48" t="s">
        <v>77</v>
      </c>
      <c r="M51" s="20"/>
      <c r="N51" s="30"/>
      <c r="O51" s="52"/>
      <c r="P51" s="122"/>
      <c r="Q51" s="122"/>
      <c r="R51" s="123"/>
      <c r="S51" s="123"/>
      <c r="T51" s="106"/>
      <c r="U51" s="106"/>
      <c r="V51" s="106"/>
    </row>
    <row r="52" spans="1:26" s="46" customFormat="1" ht="15.6" x14ac:dyDescent="0.3">
      <c r="A52" s="107">
        <v>1</v>
      </c>
      <c r="B52" s="95">
        <v>4</v>
      </c>
      <c r="C52" s="107">
        <v>91</v>
      </c>
      <c r="D52" s="42"/>
      <c r="E52" s="42"/>
      <c r="F52" s="42"/>
      <c r="G52" s="88"/>
      <c r="H52" s="40" t="s">
        <v>786</v>
      </c>
      <c r="I52" s="124"/>
      <c r="J52" s="40" t="s">
        <v>188</v>
      </c>
      <c r="K52" s="47" t="e">
        <f>#REF!</f>
        <v>#REF!</v>
      </c>
      <c r="L52" s="44" t="s">
        <v>8</v>
      </c>
      <c r="M52" s="20"/>
      <c r="N52" s="30"/>
      <c r="O52" s="67"/>
      <c r="P52" s="68" t="e">
        <f>K52</f>
        <v>#REF!</v>
      </c>
      <c r="Q52" s="68"/>
      <c r="R52" s="70"/>
      <c r="S52" s="70"/>
      <c r="T52" s="70"/>
      <c r="U52" s="70"/>
      <c r="V52" s="70"/>
    </row>
    <row r="53" spans="1:26" s="27" customFormat="1" ht="15.6" x14ac:dyDescent="0.3">
      <c r="A53" s="125">
        <v>1</v>
      </c>
      <c r="B53" s="126">
        <v>5</v>
      </c>
      <c r="C53" s="127"/>
      <c r="D53" s="36"/>
      <c r="E53" s="21"/>
      <c r="F53" s="21"/>
      <c r="G53" s="23"/>
      <c r="H53" s="128" t="s">
        <v>787</v>
      </c>
      <c r="I53" s="129"/>
      <c r="J53" s="22"/>
      <c r="K53" s="24" t="e">
        <f>K54+K55+K56+K57+K58+K59+K60</f>
        <v>#REF!</v>
      </c>
      <c r="L53" s="130" t="s">
        <v>8</v>
      </c>
      <c r="M53" s="20"/>
      <c r="N53" s="30"/>
      <c r="O53" s="67"/>
      <c r="P53" s="122"/>
      <c r="Q53" s="122"/>
      <c r="R53" s="106"/>
      <c r="S53" s="106"/>
      <c r="T53" s="106"/>
      <c r="U53" s="106"/>
      <c r="V53" s="123"/>
      <c r="W53" s="28"/>
      <c r="X53" s="28"/>
      <c r="Y53" s="28"/>
      <c r="Z53" s="28"/>
    </row>
    <row r="54" spans="1:26" s="46" customFormat="1" ht="15.6" x14ac:dyDescent="0.3">
      <c r="A54" s="114">
        <v>1</v>
      </c>
      <c r="B54" s="95">
        <v>5</v>
      </c>
      <c r="C54" s="115" t="s">
        <v>705</v>
      </c>
      <c r="D54" s="36">
        <v>5</v>
      </c>
      <c r="E54" s="42"/>
      <c r="F54" s="42"/>
      <c r="G54" s="66"/>
      <c r="H54" s="113" t="s">
        <v>788</v>
      </c>
      <c r="I54" s="124"/>
      <c r="J54" s="40" t="s">
        <v>188</v>
      </c>
      <c r="K54" s="47" t="e">
        <f>#REF!</f>
        <v>#REF!</v>
      </c>
      <c r="L54" s="37" t="s">
        <v>8</v>
      </c>
      <c r="M54" s="20"/>
      <c r="N54" s="30"/>
      <c r="O54" s="67"/>
      <c r="P54" s="68" t="e">
        <f>K54</f>
        <v>#REF!</v>
      </c>
      <c r="Q54" s="68"/>
      <c r="R54" s="70"/>
      <c r="S54" s="70"/>
      <c r="T54" s="70"/>
      <c r="U54" s="70"/>
      <c r="V54" s="70"/>
    </row>
    <row r="55" spans="1:26" s="46" customFormat="1" ht="31.5" customHeight="1" x14ac:dyDescent="0.3">
      <c r="A55" s="114">
        <v>1</v>
      </c>
      <c r="B55" s="95">
        <v>5</v>
      </c>
      <c r="C55" s="115" t="s">
        <v>706</v>
      </c>
      <c r="D55" s="36"/>
      <c r="E55" s="42"/>
      <c r="F55" s="42"/>
      <c r="G55" s="66"/>
      <c r="H55" s="108" t="s">
        <v>789</v>
      </c>
      <c r="I55" s="112"/>
      <c r="J55" s="40" t="s">
        <v>188</v>
      </c>
      <c r="K55" s="47" t="e">
        <f>#REF!</f>
        <v>#REF!</v>
      </c>
      <c r="L55" s="37"/>
      <c r="M55" s="20"/>
      <c r="N55" s="30"/>
      <c r="O55" s="41"/>
      <c r="P55" s="45"/>
      <c r="Q55" s="45"/>
    </row>
    <row r="56" spans="1:26" s="46" customFormat="1" ht="15.75" customHeight="1" x14ac:dyDescent="0.3">
      <c r="A56" s="114">
        <v>1</v>
      </c>
      <c r="B56" s="95">
        <v>5</v>
      </c>
      <c r="C56" s="115" t="s">
        <v>707</v>
      </c>
      <c r="D56" s="36"/>
      <c r="E56" s="42"/>
      <c r="F56" s="42"/>
      <c r="G56" s="66"/>
      <c r="H56" s="113" t="s">
        <v>790</v>
      </c>
      <c r="I56" s="124"/>
      <c r="J56" s="40" t="s">
        <v>188</v>
      </c>
      <c r="K56" s="47" t="e">
        <f>#REF!</f>
        <v>#REF!</v>
      </c>
      <c r="L56" s="37"/>
      <c r="M56" s="20"/>
      <c r="N56" s="30"/>
      <c r="O56" s="41"/>
      <c r="P56" s="45"/>
      <c r="Q56" s="45"/>
    </row>
    <row r="57" spans="1:26" s="46" customFormat="1" ht="15.75" customHeight="1" x14ac:dyDescent="0.3">
      <c r="A57" s="114">
        <v>1</v>
      </c>
      <c r="B57" s="95">
        <v>5</v>
      </c>
      <c r="C57" s="115" t="s">
        <v>708</v>
      </c>
      <c r="D57" s="36"/>
      <c r="E57" s="42"/>
      <c r="F57" s="42"/>
      <c r="G57" s="66"/>
      <c r="H57" s="113" t="s">
        <v>791</v>
      </c>
      <c r="I57" s="124"/>
      <c r="J57" s="40" t="s">
        <v>97</v>
      </c>
      <c r="K57" s="47" t="e">
        <f>#REF!</f>
        <v>#REF!</v>
      </c>
      <c r="L57" s="37"/>
      <c r="M57" s="20"/>
      <c r="N57" s="30"/>
      <c r="O57" s="41"/>
      <c r="P57" s="45"/>
      <c r="Q57" s="45"/>
    </row>
    <row r="58" spans="1:26" s="46" customFormat="1" ht="15.75" customHeight="1" x14ac:dyDescent="0.3">
      <c r="A58" s="114">
        <v>1</v>
      </c>
      <c r="B58" s="95">
        <v>5</v>
      </c>
      <c r="C58" s="115" t="s">
        <v>709</v>
      </c>
      <c r="D58" s="36"/>
      <c r="E58" s="42"/>
      <c r="F58" s="42"/>
      <c r="G58" s="66"/>
      <c r="H58" s="113" t="s">
        <v>792</v>
      </c>
      <c r="I58" s="124"/>
      <c r="J58" s="40" t="s">
        <v>97</v>
      </c>
      <c r="K58" s="47" t="e">
        <f>#REF!</f>
        <v>#REF!</v>
      </c>
      <c r="L58" s="37"/>
      <c r="M58" s="20"/>
      <c r="N58" s="30"/>
      <c r="O58" s="41"/>
      <c r="P58" s="45"/>
      <c r="Q58" s="45"/>
    </row>
    <row r="59" spans="1:26" s="46" customFormat="1" ht="15.6" x14ac:dyDescent="0.3">
      <c r="A59" s="114">
        <v>1</v>
      </c>
      <c r="B59" s="95">
        <v>5</v>
      </c>
      <c r="C59" s="115" t="s">
        <v>710</v>
      </c>
      <c r="D59" s="36"/>
      <c r="E59" s="42"/>
      <c r="F59" s="42"/>
      <c r="G59" s="66"/>
      <c r="H59" s="113" t="s">
        <v>793</v>
      </c>
      <c r="I59" s="124"/>
      <c r="J59" s="40" t="s">
        <v>188</v>
      </c>
      <c r="K59" s="47" t="e">
        <f>#REF!</f>
        <v>#REF!</v>
      </c>
      <c r="L59" s="37" t="s">
        <v>794</v>
      </c>
      <c r="M59" s="20"/>
      <c r="N59" s="30"/>
      <c r="O59" s="41"/>
      <c r="P59" s="45"/>
      <c r="Q59" s="45"/>
    </row>
    <row r="60" spans="1:26" s="46" customFormat="1" ht="15.75" customHeight="1" x14ac:dyDescent="0.3">
      <c r="A60" s="114">
        <v>1</v>
      </c>
      <c r="B60" s="95">
        <v>5</v>
      </c>
      <c r="C60" s="115" t="s">
        <v>711</v>
      </c>
      <c r="D60" s="36"/>
      <c r="E60" s="42"/>
      <c r="F60" s="42"/>
      <c r="G60" s="66"/>
      <c r="H60" s="113" t="s">
        <v>795</v>
      </c>
      <c r="I60" s="124"/>
      <c r="J60" s="40" t="s">
        <v>754</v>
      </c>
      <c r="K60" s="47" t="e">
        <f>#REF!+#REF!</f>
        <v>#REF!</v>
      </c>
      <c r="L60" s="22"/>
      <c r="M60" s="20"/>
      <c r="N60" s="30"/>
      <c r="O60" s="41"/>
      <c r="P60" s="45"/>
      <c r="Q60" s="45"/>
    </row>
    <row r="61" spans="1:26" s="27" customFormat="1" ht="46.8" x14ac:dyDescent="0.3">
      <c r="A61" s="21">
        <v>2</v>
      </c>
      <c r="B61" s="131"/>
      <c r="C61" s="131"/>
      <c r="D61" s="36"/>
      <c r="E61" s="21"/>
      <c r="F61" s="21"/>
      <c r="G61" s="23"/>
      <c r="H61" s="22" t="s">
        <v>796</v>
      </c>
      <c r="I61" s="129"/>
      <c r="J61" s="22"/>
      <c r="K61" s="24" t="e">
        <f>K62+K73+K83+K104+K122+K126+K130+K133</f>
        <v>#REF!</v>
      </c>
      <c r="L61" s="130" t="s">
        <v>797</v>
      </c>
      <c r="M61" s="20"/>
      <c r="N61" s="30"/>
      <c r="O61" s="41"/>
      <c r="P61" s="26"/>
      <c r="Q61" s="26"/>
    </row>
    <row r="62" spans="1:26" s="27" customFormat="1" ht="15.6" x14ac:dyDescent="0.3">
      <c r="A62" s="21">
        <v>2</v>
      </c>
      <c r="B62" s="131">
        <v>1</v>
      </c>
      <c r="C62" s="131"/>
      <c r="D62" s="36"/>
      <c r="E62" s="21"/>
      <c r="F62" s="21"/>
      <c r="G62" s="23"/>
      <c r="H62" s="22" t="s">
        <v>798</v>
      </c>
      <c r="I62" s="129"/>
      <c r="J62" s="22"/>
      <c r="K62" s="24" t="e">
        <f>K63+K64+K65+K66+K67+K68+K69+K70+K71+K72</f>
        <v>#REF!</v>
      </c>
      <c r="L62" s="130" t="s">
        <v>799</v>
      </c>
      <c r="M62" s="20"/>
      <c r="N62" s="30"/>
      <c r="O62" s="41"/>
      <c r="P62" s="26"/>
      <c r="Q62" s="26"/>
    </row>
    <row r="63" spans="1:26" s="46" customFormat="1" ht="31.2" x14ac:dyDescent="0.3">
      <c r="A63" s="94">
        <v>2</v>
      </c>
      <c r="B63" s="95">
        <v>1</v>
      </c>
      <c r="C63" s="95" t="s">
        <v>705</v>
      </c>
      <c r="D63" s="36"/>
      <c r="E63" s="42"/>
      <c r="F63" s="42"/>
      <c r="G63" s="66"/>
      <c r="H63" s="108" t="s">
        <v>800</v>
      </c>
      <c r="I63" s="112"/>
      <c r="J63" s="40" t="s">
        <v>188</v>
      </c>
      <c r="K63" s="47" t="e">
        <f>#REF!+#REF!</f>
        <v>#REF!</v>
      </c>
      <c r="L63" s="44" t="s">
        <v>801</v>
      </c>
      <c r="M63" s="20"/>
      <c r="N63" s="30"/>
      <c r="O63" s="41"/>
      <c r="P63" s="45"/>
      <c r="Q63" s="45"/>
    </row>
    <row r="64" spans="1:26" s="46" customFormat="1" ht="15.6" x14ac:dyDescent="0.3">
      <c r="A64" s="42">
        <v>2</v>
      </c>
      <c r="B64" s="95">
        <v>1</v>
      </c>
      <c r="C64" s="95" t="s">
        <v>706</v>
      </c>
      <c r="D64" s="36"/>
      <c r="E64" s="42"/>
      <c r="F64" s="42"/>
      <c r="G64" s="66"/>
      <c r="H64" s="113" t="s">
        <v>802</v>
      </c>
      <c r="I64" s="124"/>
      <c r="J64" s="40" t="s">
        <v>754</v>
      </c>
      <c r="K64" s="47" t="e">
        <f>#REF!</f>
        <v>#REF!</v>
      </c>
      <c r="L64" s="37" t="s">
        <v>713</v>
      </c>
      <c r="M64" s="20"/>
      <c r="N64" s="30"/>
      <c r="O64" s="41"/>
      <c r="P64" s="45"/>
      <c r="Q64" s="45"/>
    </row>
    <row r="65" spans="1:17" s="46" customFormat="1" ht="15.6" x14ac:dyDescent="0.3">
      <c r="A65" s="94">
        <v>2</v>
      </c>
      <c r="B65" s="95">
        <v>1</v>
      </c>
      <c r="C65" s="95" t="s">
        <v>707</v>
      </c>
      <c r="D65" s="36"/>
      <c r="E65" s="42"/>
      <c r="F65" s="42"/>
      <c r="G65" s="66"/>
      <c r="H65" s="108" t="s">
        <v>803</v>
      </c>
      <c r="I65" s="112"/>
      <c r="J65" s="40" t="s">
        <v>97</v>
      </c>
      <c r="K65" s="47" t="e">
        <f>#REF!</f>
        <v>#REF!</v>
      </c>
      <c r="L65" s="40"/>
      <c r="M65" s="20"/>
      <c r="N65" s="30"/>
      <c r="O65" s="41"/>
      <c r="P65" s="45"/>
      <c r="Q65" s="45"/>
    </row>
    <row r="66" spans="1:17" s="46" customFormat="1" ht="31.2" x14ac:dyDescent="0.3">
      <c r="A66" s="94">
        <v>2</v>
      </c>
      <c r="B66" s="95">
        <v>1</v>
      </c>
      <c r="C66" s="95" t="s">
        <v>708</v>
      </c>
      <c r="D66" s="36"/>
      <c r="E66" s="42"/>
      <c r="F66" s="42"/>
      <c r="G66" s="66"/>
      <c r="H66" s="108" t="s">
        <v>804</v>
      </c>
      <c r="I66" s="112"/>
      <c r="J66" s="40" t="s">
        <v>188</v>
      </c>
      <c r="K66" s="47" t="e">
        <f>#REF!</f>
        <v>#REF!</v>
      </c>
      <c r="L66" s="40"/>
      <c r="M66" s="20"/>
      <c r="N66" s="30"/>
      <c r="O66" s="41"/>
      <c r="P66" s="45"/>
      <c r="Q66" s="45"/>
    </row>
    <row r="67" spans="1:17" s="46" customFormat="1" ht="31.2" x14ac:dyDescent="0.3">
      <c r="A67" s="94">
        <v>2</v>
      </c>
      <c r="B67" s="95">
        <v>1</v>
      </c>
      <c r="C67" s="95" t="s">
        <v>709</v>
      </c>
      <c r="D67" s="36">
        <v>5</v>
      </c>
      <c r="E67" s="42"/>
      <c r="F67" s="42"/>
      <c r="G67" s="66"/>
      <c r="H67" s="108" t="s">
        <v>805</v>
      </c>
      <c r="I67" s="112"/>
      <c r="J67" s="40" t="s">
        <v>188</v>
      </c>
      <c r="K67" s="47" t="e">
        <f>#REF!</f>
        <v>#REF!</v>
      </c>
      <c r="L67" s="40" t="s">
        <v>713</v>
      </c>
      <c r="M67" s="20"/>
      <c r="N67" s="30"/>
      <c r="O67" s="41"/>
      <c r="P67" s="45"/>
      <c r="Q67" s="45"/>
    </row>
    <row r="68" spans="1:17" s="46" customFormat="1" ht="46.8" x14ac:dyDescent="0.3">
      <c r="A68" s="94">
        <v>2</v>
      </c>
      <c r="B68" s="95">
        <v>1</v>
      </c>
      <c r="C68" s="95" t="s">
        <v>710</v>
      </c>
      <c r="D68" s="36"/>
      <c r="E68" s="42"/>
      <c r="F68" s="42"/>
      <c r="G68" s="66"/>
      <c r="H68" s="108" t="s">
        <v>806</v>
      </c>
      <c r="I68" s="112"/>
      <c r="J68" s="40" t="s">
        <v>188</v>
      </c>
      <c r="K68" s="47" t="e">
        <f>#REF!</f>
        <v>#REF!</v>
      </c>
      <c r="L68" s="37"/>
      <c r="M68" s="20"/>
      <c r="N68" s="30"/>
      <c r="O68" s="41"/>
      <c r="P68" s="45"/>
      <c r="Q68" s="45"/>
    </row>
    <row r="69" spans="1:17" s="46" customFormat="1" ht="31.2" x14ac:dyDescent="0.3">
      <c r="A69" s="94">
        <v>2</v>
      </c>
      <c r="B69" s="95">
        <v>1</v>
      </c>
      <c r="C69" s="95" t="s">
        <v>711</v>
      </c>
      <c r="D69" s="36"/>
      <c r="E69" s="42"/>
      <c r="F69" s="42"/>
      <c r="G69" s="66"/>
      <c r="H69" s="108" t="s">
        <v>807</v>
      </c>
      <c r="I69" s="112"/>
      <c r="J69" s="40" t="s">
        <v>188</v>
      </c>
      <c r="K69" s="47" t="e">
        <f>#REF!</f>
        <v>#REF!</v>
      </c>
      <c r="L69" s="40"/>
      <c r="M69" s="20"/>
      <c r="N69" s="30"/>
      <c r="O69" s="41"/>
      <c r="P69" s="45"/>
      <c r="Q69" s="45"/>
    </row>
    <row r="70" spans="1:17" s="46" customFormat="1" ht="31.2" x14ac:dyDescent="0.3">
      <c r="A70" s="94">
        <v>2</v>
      </c>
      <c r="B70" s="95">
        <v>1</v>
      </c>
      <c r="C70" s="95" t="s">
        <v>712</v>
      </c>
      <c r="D70" s="36"/>
      <c r="E70" s="42"/>
      <c r="F70" s="42"/>
      <c r="G70" s="66"/>
      <c r="H70" s="108" t="s">
        <v>808</v>
      </c>
      <c r="I70" s="112"/>
      <c r="J70" s="40" t="s">
        <v>188</v>
      </c>
      <c r="K70" s="47" t="e">
        <f>#REF!+#REF!</f>
        <v>#REF!</v>
      </c>
      <c r="L70" s="40"/>
      <c r="M70" s="20"/>
      <c r="N70" s="30"/>
      <c r="O70" s="41"/>
      <c r="P70" s="45"/>
      <c r="Q70" s="45"/>
    </row>
    <row r="71" spans="1:17" s="46" customFormat="1" ht="15.6" x14ac:dyDescent="0.3">
      <c r="A71" s="94">
        <v>2</v>
      </c>
      <c r="B71" s="95">
        <v>1</v>
      </c>
      <c r="C71" s="95" t="s">
        <v>731</v>
      </c>
      <c r="D71" s="36"/>
      <c r="E71" s="42"/>
      <c r="F71" s="42"/>
      <c r="G71" s="66"/>
      <c r="H71" s="96" t="s">
        <v>809</v>
      </c>
      <c r="I71" s="42"/>
      <c r="J71" s="40"/>
      <c r="K71" s="47" t="e">
        <f>#REF!+#REF!</f>
        <v>#REF!</v>
      </c>
      <c r="L71" s="40"/>
      <c r="M71" s="20"/>
      <c r="N71" s="30"/>
      <c r="O71" s="41"/>
      <c r="P71" s="45"/>
      <c r="Q71" s="45"/>
    </row>
    <row r="72" spans="1:17" s="46" customFormat="1" ht="15.6" x14ac:dyDescent="0.3">
      <c r="A72" s="94">
        <v>2</v>
      </c>
      <c r="B72" s="95">
        <v>1</v>
      </c>
      <c r="C72" s="95" t="s">
        <v>732</v>
      </c>
      <c r="D72" s="36"/>
      <c r="E72" s="42"/>
      <c r="F72" s="42"/>
      <c r="G72" s="66"/>
      <c r="H72" s="96" t="s">
        <v>810</v>
      </c>
      <c r="I72" s="42"/>
      <c r="J72" s="40"/>
      <c r="K72" s="47" t="e">
        <f>#REF!</f>
        <v>#REF!</v>
      </c>
      <c r="L72" s="40"/>
      <c r="M72" s="20"/>
      <c r="N72" s="30"/>
      <c r="O72" s="41"/>
      <c r="P72" s="45"/>
      <c r="Q72" s="45"/>
    </row>
    <row r="73" spans="1:17" s="27" customFormat="1" ht="15.6" x14ac:dyDescent="0.3">
      <c r="A73" s="133">
        <v>2</v>
      </c>
      <c r="B73" s="126">
        <v>2</v>
      </c>
      <c r="C73" s="126"/>
      <c r="D73" s="36"/>
      <c r="E73" s="21"/>
      <c r="F73" s="21"/>
      <c r="G73" s="23"/>
      <c r="H73" s="134" t="s">
        <v>811</v>
      </c>
      <c r="I73" s="135"/>
      <c r="J73" s="22"/>
      <c r="K73" s="24" t="e">
        <f>K74+K75+K76+K77+K78+K79+K80+K81+K82</f>
        <v>#REF!</v>
      </c>
      <c r="L73" s="22" t="s">
        <v>812</v>
      </c>
      <c r="M73" s="20"/>
      <c r="N73" s="30"/>
      <c r="O73" s="41"/>
      <c r="P73" s="26"/>
      <c r="Q73" s="26"/>
    </row>
    <row r="74" spans="1:17" s="46" customFormat="1" ht="46.8" x14ac:dyDescent="0.3">
      <c r="A74" s="94">
        <v>2</v>
      </c>
      <c r="B74" s="95">
        <v>2</v>
      </c>
      <c r="C74" s="95" t="s">
        <v>705</v>
      </c>
      <c r="D74" s="36"/>
      <c r="E74" s="42"/>
      <c r="F74" s="42"/>
      <c r="G74" s="66"/>
      <c r="H74" s="108" t="s">
        <v>813</v>
      </c>
      <c r="I74" s="112"/>
      <c r="J74" s="40" t="s">
        <v>188</v>
      </c>
      <c r="K74" s="47" t="e">
        <f>#REF!+#REF!</f>
        <v>#REF!</v>
      </c>
      <c r="L74" s="40"/>
      <c r="M74" s="20"/>
      <c r="N74" s="30"/>
      <c r="O74" s="41"/>
      <c r="P74" s="45"/>
      <c r="Q74" s="45"/>
    </row>
    <row r="75" spans="1:17" s="46" customFormat="1" ht="31.2" x14ac:dyDescent="0.3">
      <c r="A75" s="94">
        <v>2</v>
      </c>
      <c r="B75" s="95">
        <v>2</v>
      </c>
      <c r="C75" s="95" t="s">
        <v>706</v>
      </c>
      <c r="D75" s="36"/>
      <c r="E75" s="42"/>
      <c r="F75" s="42"/>
      <c r="G75" s="66"/>
      <c r="H75" s="108" t="s">
        <v>814</v>
      </c>
      <c r="I75" s="112"/>
      <c r="J75" s="40" t="s">
        <v>188</v>
      </c>
      <c r="K75" s="47" t="e">
        <f>#REF!+#REF!</f>
        <v>#REF!</v>
      </c>
      <c r="L75" s="48" t="s">
        <v>815</v>
      </c>
      <c r="M75" s="20"/>
      <c r="N75" s="30"/>
      <c r="O75" s="41"/>
      <c r="P75" s="45"/>
      <c r="Q75" s="45"/>
    </row>
    <row r="76" spans="1:17" s="46" customFormat="1" ht="36.75" customHeight="1" x14ac:dyDescent="0.3">
      <c r="A76" s="94">
        <v>2</v>
      </c>
      <c r="B76" s="95">
        <v>2</v>
      </c>
      <c r="C76" s="95" t="s">
        <v>707</v>
      </c>
      <c r="D76" s="36"/>
      <c r="E76" s="42"/>
      <c r="F76" s="42"/>
      <c r="G76" s="66"/>
      <c r="H76" s="108" t="s">
        <v>816</v>
      </c>
      <c r="I76" s="112"/>
      <c r="J76" s="40" t="s">
        <v>97</v>
      </c>
      <c r="K76" s="47" t="e">
        <f>#REF!</f>
        <v>#REF!</v>
      </c>
      <c r="L76" s="40"/>
      <c r="M76" s="20"/>
      <c r="N76" s="30"/>
      <c r="O76" s="41"/>
      <c r="P76" s="45"/>
      <c r="Q76" s="45"/>
    </row>
    <row r="77" spans="1:17" s="46" customFormat="1" ht="21" customHeight="1" x14ac:dyDescent="0.3">
      <c r="A77" s="94">
        <v>2</v>
      </c>
      <c r="B77" s="95">
        <v>2</v>
      </c>
      <c r="C77" s="95" t="s">
        <v>708</v>
      </c>
      <c r="D77" s="36"/>
      <c r="E77" s="42"/>
      <c r="F77" s="42"/>
      <c r="G77" s="66"/>
      <c r="H77" s="113" t="s">
        <v>817</v>
      </c>
      <c r="I77" s="124"/>
      <c r="J77" s="40" t="s">
        <v>818</v>
      </c>
      <c r="K77" s="47" t="e">
        <f>#REF!+#REF!</f>
        <v>#REF!</v>
      </c>
      <c r="L77" s="40"/>
      <c r="M77" s="20"/>
      <c r="N77" s="30"/>
      <c r="O77" s="41"/>
      <c r="P77" s="45"/>
      <c r="Q77" s="45" t="e">
        <f>K77</f>
        <v>#REF!</v>
      </c>
    </row>
    <row r="78" spans="1:17" s="46" customFormat="1" ht="15.6" x14ac:dyDescent="0.3">
      <c r="A78" s="94">
        <v>2</v>
      </c>
      <c r="B78" s="95">
        <v>2</v>
      </c>
      <c r="C78" s="95" t="s">
        <v>709</v>
      </c>
      <c r="D78" s="36"/>
      <c r="E78" s="42"/>
      <c r="F78" s="42"/>
      <c r="G78" s="66"/>
      <c r="H78" s="113" t="s">
        <v>819</v>
      </c>
      <c r="I78" s="124"/>
      <c r="J78" s="40" t="s">
        <v>97</v>
      </c>
      <c r="K78" s="47" t="e">
        <f>#REF!</f>
        <v>#REF!</v>
      </c>
      <c r="L78" s="40" t="s">
        <v>77</v>
      </c>
      <c r="M78" s="20"/>
      <c r="N78" s="30"/>
      <c r="O78" s="41"/>
      <c r="P78" s="45"/>
      <c r="Q78" s="45"/>
    </row>
    <row r="79" spans="1:17" s="46" customFormat="1" ht="15.6" x14ac:dyDescent="0.3">
      <c r="A79" s="94">
        <v>2</v>
      </c>
      <c r="B79" s="95">
        <v>2</v>
      </c>
      <c r="C79" s="95" t="s">
        <v>710</v>
      </c>
      <c r="D79" s="36"/>
      <c r="E79" s="42"/>
      <c r="F79" s="42"/>
      <c r="G79" s="66"/>
      <c r="H79" s="113" t="s">
        <v>820</v>
      </c>
      <c r="I79" s="124"/>
      <c r="J79" s="40" t="s">
        <v>188</v>
      </c>
      <c r="K79" s="47" t="e">
        <f>#REF!</f>
        <v>#REF!</v>
      </c>
      <c r="L79" s="37" t="s">
        <v>713</v>
      </c>
      <c r="M79" s="20"/>
      <c r="N79" s="30"/>
      <c r="O79" s="41"/>
      <c r="P79" s="45"/>
      <c r="Q79" s="45"/>
    </row>
    <row r="80" spans="1:17" s="46" customFormat="1" ht="15.6" x14ac:dyDescent="0.3">
      <c r="A80" s="94">
        <v>2</v>
      </c>
      <c r="B80" s="95">
        <v>2</v>
      </c>
      <c r="C80" s="95" t="s">
        <v>711</v>
      </c>
      <c r="D80" s="36"/>
      <c r="E80" s="42"/>
      <c r="F80" s="42"/>
      <c r="G80" s="66"/>
      <c r="H80" s="113" t="s">
        <v>821</v>
      </c>
      <c r="I80" s="124"/>
      <c r="J80" s="40" t="s">
        <v>188</v>
      </c>
      <c r="K80" s="47" t="e">
        <f>#REF!</f>
        <v>#REF!</v>
      </c>
      <c r="L80" s="40"/>
      <c r="M80" s="20"/>
      <c r="N80" s="30"/>
      <c r="O80" s="41"/>
      <c r="P80" s="45"/>
      <c r="Q80" s="45"/>
    </row>
    <row r="81" spans="1:17" s="46" customFormat="1" ht="15.6" x14ac:dyDescent="0.3">
      <c r="A81" s="94">
        <v>2</v>
      </c>
      <c r="B81" s="95">
        <v>2</v>
      </c>
      <c r="C81" s="95" t="s">
        <v>712</v>
      </c>
      <c r="D81" s="36"/>
      <c r="E81" s="42"/>
      <c r="F81" s="42"/>
      <c r="G81" s="66"/>
      <c r="H81" s="113" t="s">
        <v>822</v>
      </c>
      <c r="I81" s="124"/>
      <c r="J81" s="40" t="s">
        <v>188</v>
      </c>
      <c r="K81" s="47" t="e">
        <f>#REF!</f>
        <v>#REF!</v>
      </c>
      <c r="L81" s="40"/>
      <c r="M81" s="20"/>
      <c r="N81" s="30"/>
      <c r="O81" s="41"/>
      <c r="P81" s="45"/>
      <c r="Q81" s="45"/>
    </row>
    <row r="82" spans="1:17" s="46" customFormat="1" ht="31.2" x14ac:dyDescent="0.3">
      <c r="A82" s="94">
        <v>2</v>
      </c>
      <c r="B82" s="95">
        <v>2</v>
      </c>
      <c r="C82" s="95" t="s">
        <v>731</v>
      </c>
      <c r="D82" s="36"/>
      <c r="E82" s="42"/>
      <c r="F82" s="42"/>
      <c r="G82" s="66"/>
      <c r="H82" s="108" t="s">
        <v>823</v>
      </c>
      <c r="I82" s="112"/>
      <c r="J82" s="40" t="s">
        <v>188</v>
      </c>
      <c r="K82" s="47" t="e">
        <f>#REF!</f>
        <v>#REF!</v>
      </c>
      <c r="L82" s="40"/>
      <c r="M82" s="20"/>
      <c r="N82" s="30"/>
      <c r="O82" s="41"/>
      <c r="P82" s="45"/>
      <c r="Q82" s="45"/>
    </row>
    <row r="83" spans="1:17" s="27" customFormat="1" ht="15.6" x14ac:dyDescent="0.3">
      <c r="A83" s="133">
        <v>2</v>
      </c>
      <c r="B83" s="126">
        <v>3</v>
      </c>
      <c r="C83" s="131"/>
      <c r="D83" s="36"/>
      <c r="E83" s="21"/>
      <c r="F83" s="21"/>
      <c r="G83" s="23"/>
      <c r="H83" s="134" t="s">
        <v>824</v>
      </c>
      <c r="I83" s="129"/>
      <c r="J83" s="22"/>
      <c r="K83" s="24" t="e">
        <f>K84+K85+K86+K87+K88+K89+K90+K91+K92+K93+K94+K95+K96+K97+K98+K99+K100+K101+K102+K103</f>
        <v>#REF!</v>
      </c>
      <c r="L83" s="22"/>
      <c r="M83" s="20"/>
      <c r="N83" s="30"/>
      <c r="O83" s="41"/>
      <c r="P83" s="26"/>
      <c r="Q83" s="26"/>
    </row>
    <row r="84" spans="1:17" s="46" customFormat="1" ht="15.6" x14ac:dyDescent="0.3">
      <c r="A84" s="94">
        <v>2</v>
      </c>
      <c r="B84" s="95">
        <v>3</v>
      </c>
      <c r="C84" s="95" t="s">
        <v>705</v>
      </c>
      <c r="D84" s="36">
        <v>5</v>
      </c>
      <c r="E84" s="42"/>
      <c r="F84" s="42"/>
      <c r="G84" s="66"/>
      <c r="H84" s="113" t="s">
        <v>825</v>
      </c>
      <c r="I84" s="124"/>
      <c r="J84" s="40" t="s">
        <v>188</v>
      </c>
      <c r="K84" s="47" t="e">
        <f>#REF!</f>
        <v>#REF!</v>
      </c>
      <c r="L84" s="37"/>
      <c r="M84" s="20"/>
      <c r="N84" s="30"/>
      <c r="O84" s="41"/>
      <c r="P84" s="45"/>
      <c r="Q84" s="45"/>
    </row>
    <row r="85" spans="1:17" s="46" customFormat="1" ht="15.6" x14ac:dyDescent="0.3">
      <c r="A85" s="94">
        <v>2</v>
      </c>
      <c r="B85" s="95">
        <v>3</v>
      </c>
      <c r="C85" s="95" t="s">
        <v>706</v>
      </c>
      <c r="D85" s="36"/>
      <c r="E85" s="42"/>
      <c r="F85" s="42"/>
      <c r="G85" s="66"/>
      <c r="H85" s="113" t="s">
        <v>826</v>
      </c>
      <c r="I85" s="124"/>
      <c r="J85" s="40" t="s">
        <v>188</v>
      </c>
      <c r="K85" s="47" t="e">
        <f>#REF!</f>
        <v>#REF!</v>
      </c>
      <c r="L85" s="48" t="s">
        <v>713</v>
      </c>
      <c r="M85" s="20"/>
      <c r="N85" s="30"/>
      <c r="O85" s="45"/>
      <c r="P85" s="45"/>
      <c r="Q85" s="45"/>
    </row>
    <row r="86" spans="1:17" s="46" customFormat="1" ht="18" customHeight="1" x14ac:dyDescent="0.3">
      <c r="A86" s="94">
        <v>2</v>
      </c>
      <c r="B86" s="95">
        <v>3</v>
      </c>
      <c r="C86" s="95" t="s">
        <v>707</v>
      </c>
      <c r="D86" s="36">
        <v>5</v>
      </c>
      <c r="E86" s="42"/>
      <c r="F86" s="42"/>
      <c r="G86" s="66"/>
      <c r="H86" s="113" t="s">
        <v>828</v>
      </c>
      <c r="I86" s="124"/>
      <c r="J86" s="40" t="s">
        <v>188</v>
      </c>
      <c r="K86" s="47" t="e">
        <f>#REF!</f>
        <v>#REF!</v>
      </c>
      <c r="L86" s="48" t="s">
        <v>829</v>
      </c>
      <c r="M86" s="20"/>
      <c r="N86" s="30"/>
      <c r="O86" s="45"/>
      <c r="P86" s="45"/>
      <c r="Q86" s="45"/>
    </row>
    <row r="87" spans="1:17" s="46" customFormat="1" ht="15.6" x14ac:dyDescent="0.3">
      <c r="A87" s="94">
        <v>2</v>
      </c>
      <c r="B87" s="95">
        <v>3</v>
      </c>
      <c r="C87" s="95" t="s">
        <v>708</v>
      </c>
      <c r="D87" s="36"/>
      <c r="E87" s="42"/>
      <c r="F87" s="42"/>
      <c r="G87" s="66"/>
      <c r="H87" s="113" t="s">
        <v>830</v>
      </c>
      <c r="I87" s="124"/>
      <c r="J87" s="40" t="s">
        <v>188</v>
      </c>
      <c r="K87" s="47" t="e">
        <f>#REF!</f>
        <v>#REF!</v>
      </c>
      <c r="L87" s="40"/>
      <c r="M87" s="20"/>
      <c r="N87" s="30"/>
      <c r="O87" s="41"/>
      <c r="P87" s="45"/>
      <c r="Q87" s="45"/>
    </row>
    <row r="88" spans="1:17" s="46" customFormat="1" ht="30.6" customHeight="1" x14ac:dyDescent="0.3">
      <c r="A88" s="94">
        <v>2</v>
      </c>
      <c r="B88" s="95">
        <v>3</v>
      </c>
      <c r="C88" s="95" t="s">
        <v>709</v>
      </c>
      <c r="D88" s="36"/>
      <c r="E88" s="42"/>
      <c r="F88" s="42"/>
      <c r="G88" s="66"/>
      <c r="H88" s="108" t="s">
        <v>831</v>
      </c>
      <c r="I88" s="112"/>
      <c r="J88" s="40" t="s">
        <v>188</v>
      </c>
      <c r="K88" s="47" t="e">
        <f>#REF!</f>
        <v>#REF!</v>
      </c>
      <c r="L88" s="40" t="s">
        <v>832</v>
      </c>
      <c r="M88" s="20"/>
      <c r="N88" s="30"/>
      <c r="O88" s="41"/>
      <c r="P88" s="45"/>
      <c r="Q88" s="45"/>
    </row>
    <row r="89" spans="1:17" s="46" customFormat="1" ht="15.6" x14ac:dyDescent="0.3">
      <c r="A89" s="94">
        <v>2</v>
      </c>
      <c r="B89" s="95">
        <v>3</v>
      </c>
      <c r="C89" s="95" t="s">
        <v>710</v>
      </c>
      <c r="D89" s="36"/>
      <c r="E89" s="42"/>
      <c r="F89" s="42"/>
      <c r="G89" s="66"/>
      <c r="H89" s="113" t="s">
        <v>833</v>
      </c>
      <c r="I89" s="124"/>
      <c r="J89" s="40" t="s">
        <v>188</v>
      </c>
      <c r="K89" s="47" t="e">
        <f>#REF!</f>
        <v>#REF!</v>
      </c>
      <c r="L89" s="40"/>
      <c r="M89" s="20"/>
      <c r="N89" s="30"/>
      <c r="O89" s="41"/>
      <c r="P89" s="45"/>
      <c r="Q89" s="45"/>
    </row>
    <row r="90" spans="1:17" s="46" customFormat="1" ht="31.2" x14ac:dyDescent="0.3">
      <c r="A90" s="94">
        <v>2</v>
      </c>
      <c r="B90" s="95">
        <v>3</v>
      </c>
      <c r="C90" s="95" t="s">
        <v>711</v>
      </c>
      <c r="D90" s="36"/>
      <c r="E90" s="42"/>
      <c r="F90" s="42"/>
      <c r="G90" s="66"/>
      <c r="H90" s="108" t="s">
        <v>834</v>
      </c>
      <c r="I90" s="112"/>
      <c r="J90" s="40" t="s">
        <v>188</v>
      </c>
      <c r="K90" s="47" t="e">
        <f>#REF!</f>
        <v>#REF!</v>
      </c>
      <c r="L90" s="40"/>
      <c r="M90" s="20"/>
      <c r="N90" s="30"/>
      <c r="O90" s="41"/>
      <c r="P90" s="45"/>
      <c r="Q90" s="45"/>
    </row>
    <row r="91" spans="1:17" s="46" customFormat="1" ht="15.6" x14ac:dyDescent="0.3">
      <c r="A91" s="94">
        <v>2</v>
      </c>
      <c r="B91" s="95">
        <v>3</v>
      </c>
      <c r="C91" s="95" t="s">
        <v>712</v>
      </c>
      <c r="D91" s="36"/>
      <c r="E91" s="42"/>
      <c r="F91" s="42"/>
      <c r="G91" s="66"/>
      <c r="H91" s="113" t="s">
        <v>835</v>
      </c>
      <c r="I91" s="124"/>
      <c r="J91" s="40" t="s">
        <v>188</v>
      </c>
      <c r="K91" s="47" t="e">
        <f>#REF!</f>
        <v>#REF!</v>
      </c>
      <c r="L91" s="40"/>
      <c r="M91" s="20"/>
      <c r="N91" s="30"/>
      <c r="O91" s="41"/>
      <c r="P91" s="45"/>
      <c r="Q91" s="45"/>
    </row>
    <row r="92" spans="1:17" s="46" customFormat="1" ht="15.6" x14ac:dyDescent="0.3">
      <c r="A92" s="94">
        <v>2</v>
      </c>
      <c r="B92" s="95">
        <v>3</v>
      </c>
      <c r="C92" s="95" t="s">
        <v>731</v>
      </c>
      <c r="D92" s="42"/>
      <c r="E92" s="42"/>
      <c r="F92" s="42"/>
      <c r="G92" s="88"/>
      <c r="H92" s="108" t="s">
        <v>836</v>
      </c>
      <c r="I92" s="124"/>
      <c r="J92" s="40" t="s">
        <v>188</v>
      </c>
      <c r="K92" s="47" t="e">
        <f>#REF!</f>
        <v>#REF!</v>
      </c>
      <c r="L92" s="40"/>
      <c r="M92" s="20"/>
      <c r="N92" s="30"/>
      <c r="O92" s="41"/>
      <c r="P92" s="45"/>
      <c r="Q92" s="45"/>
    </row>
    <row r="93" spans="1:17" s="46" customFormat="1" ht="15.6" x14ac:dyDescent="0.3">
      <c r="A93" s="94">
        <v>2</v>
      </c>
      <c r="B93" s="95">
        <v>3</v>
      </c>
      <c r="C93" s="95" t="s">
        <v>732</v>
      </c>
      <c r="D93" s="36"/>
      <c r="E93" s="42"/>
      <c r="F93" s="42"/>
      <c r="G93" s="66"/>
      <c r="H93" s="113" t="s">
        <v>837</v>
      </c>
      <c r="I93" s="137" t="s">
        <v>838</v>
      </c>
      <c r="J93" s="40" t="s">
        <v>188</v>
      </c>
      <c r="K93" s="47" t="e">
        <f>#REF!</f>
        <v>#REF!</v>
      </c>
      <c r="L93" s="40"/>
      <c r="M93" s="20"/>
      <c r="N93" s="30"/>
      <c r="O93" s="41"/>
      <c r="P93" s="45"/>
      <c r="Q93" s="45"/>
    </row>
    <row r="94" spans="1:17" s="46" customFormat="1" ht="31.2" x14ac:dyDescent="0.3">
      <c r="A94" s="94">
        <v>2</v>
      </c>
      <c r="B94" s="95">
        <v>3</v>
      </c>
      <c r="C94" s="95" t="s">
        <v>733</v>
      </c>
      <c r="D94" s="36"/>
      <c r="E94" s="42"/>
      <c r="F94" s="42"/>
      <c r="G94" s="66"/>
      <c r="H94" s="108" t="s">
        <v>839</v>
      </c>
      <c r="I94" s="112"/>
      <c r="J94" s="40" t="s">
        <v>188</v>
      </c>
      <c r="K94" s="47" t="e">
        <f>#REF!</f>
        <v>#REF!</v>
      </c>
      <c r="L94" s="40" t="s">
        <v>840</v>
      </c>
      <c r="M94" s="20"/>
      <c r="N94" s="30"/>
      <c r="O94" s="41"/>
      <c r="P94" s="45"/>
      <c r="Q94" s="45"/>
    </row>
    <row r="95" spans="1:17" s="46" customFormat="1" ht="15.6" x14ac:dyDescent="0.3">
      <c r="A95" s="94">
        <v>2</v>
      </c>
      <c r="B95" s="95">
        <v>3</v>
      </c>
      <c r="C95" s="95" t="s">
        <v>734</v>
      </c>
      <c r="D95" s="36"/>
      <c r="E95" s="42"/>
      <c r="F95" s="42"/>
      <c r="G95" s="66"/>
      <c r="H95" s="113" t="s">
        <v>841</v>
      </c>
      <c r="I95" s="124"/>
      <c r="J95" s="40" t="s">
        <v>188</v>
      </c>
      <c r="K95" s="47" t="e">
        <f>#REF!</f>
        <v>#REF!</v>
      </c>
      <c r="L95" s="48" t="s">
        <v>713</v>
      </c>
      <c r="M95" s="20"/>
      <c r="N95" s="30"/>
      <c r="O95" s="41"/>
      <c r="P95" s="45"/>
      <c r="Q95" s="45" t="e">
        <f>K95</f>
        <v>#REF!</v>
      </c>
    </row>
    <row r="96" spans="1:17" s="46" customFormat="1" ht="15.6" x14ac:dyDescent="0.3">
      <c r="A96" s="94">
        <v>2</v>
      </c>
      <c r="B96" s="95">
        <v>3</v>
      </c>
      <c r="C96" s="95" t="s">
        <v>842</v>
      </c>
      <c r="D96" s="36"/>
      <c r="E96" s="42"/>
      <c r="F96" s="42"/>
      <c r="G96" s="66"/>
      <c r="H96" s="113" t="s">
        <v>843</v>
      </c>
      <c r="I96" s="124"/>
      <c r="J96" s="40" t="s">
        <v>188</v>
      </c>
      <c r="K96" s="47" t="e">
        <f>#REF!</f>
        <v>#REF!</v>
      </c>
      <c r="L96" s="40"/>
      <c r="M96" s="20"/>
      <c r="N96" s="30"/>
      <c r="O96" s="41"/>
      <c r="P96" s="45"/>
      <c r="Q96" s="45"/>
    </row>
    <row r="97" spans="1:22" s="46" customFormat="1" ht="50.25" customHeight="1" x14ac:dyDescent="0.3">
      <c r="A97" s="94">
        <v>2</v>
      </c>
      <c r="B97" s="95">
        <v>3</v>
      </c>
      <c r="C97" s="95" t="s">
        <v>844</v>
      </c>
      <c r="D97" s="36"/>
      <c r="E97" s="42"/>
      <c r="F97" s="42"/>
      <c r="G97" s="66"/>
      <c r="H97" s="108" t="s">
        <v>845</v>
      </c>
      <c r="I97" s="138" t="s">
        <v>838</v>
      </c>
      <c r="J97" s="40" t="s">
        <v>188</v>
      </c>
      <c r="K97" s="47" t="e">
        <f>#REF!</f>
        <v>#REF!</v>
      </c>
      <c r="L97" s="40" t="s">
        <v>713</v>
      </c>
      <c r="M97" s="20"/>
      <c r="N97" s="30"/>
      <c r="O97" s="41"/>
      <c r="P97" s="45"/>
      <c r="Q97" s="45"/>
    </row>
    <row r="98" spans="1:22" s="46" customFormat="1" ht="15.6" x14ac:dyDescent="0.3">
      <c r="A98" s="94">
        <v>2</v>
      </c>
      <c r="B98" s="95">
        <v>3</v>
      </c>
      <c r="C98" s="95" t="s">
        <v>846</v>
      </c>
      <c r="D98" s="36"/>
      <c r="E98" s="42"/>
      <c r="F98" s="42"/>
      <c r="G98" s="66"/>
      <c r="H98" s="96" t="s">
        <v>847</v>
      </c>
      <c r="I98" s="42"/>
      <c r="J98" s="40" t="s">
        <v>188</v>
      </c>
      <c r="K98" s="47"/>
      <c r="L98" s="40"/>
      <c r="M98" s="20"/>
      <c r="N98" s="30"/>
      <c r="O98" s="41"/>
      <c r="P98" s="45"/>
      <c r="Q98" s="45"/>
    </row>
    <row r="99" spans="1:22" s="46" customFormat="1" ht="35.25" customHeight="1" x14ac:dyDescent="0.3">
      <c r="A99" s="94">
        <v>2</v>
      </c>
      <c r="B99" s="95">
        <v>3</v>
      </c>
      <c r="C99" s="95" t="s">
        <v>848</v>
      </c>
      <c r="D99" s="36"/>
      <c r="E99" s="42"/>
      <c r="F99" s="42"/>
      <c r="G99" s="66"/>
      <c r="H99" s="108" t="s">
        <v>849</v>
      </c>
      <c r="I99" s="112"/>
      <c r="J99" s="40" t="s">
        <v>188</v>
      </c>
      <c r="K99" s="47" t="e">
        <f>#REF!</f>
        <v>#REF!</v>
      </c>
      <c r="L99" s="48" t="s">
        <v>850</v>
      </c>
      <c r="M99" s="20"/>
      <c r="N99" s="30"/>
      <c r="O99" s="41"/>
      <c r="P99" s="45"/>
      <c r="Q99" s="45"/>
      <c r="V99" s="139" t="e">
        <f>K99</f>
        <v>#REF!</v>
      </c>
    </row>
    <row r="100" spans="1:22" s="46" customFormat="1" ht="15.6" x14ac:dyDescent="0.3">
      <c r="A100" s="94">
        <v>2</v>
      </c>
      <c r="B100" s="95">
        <v>3</v>
      </c>
      <c r="C100" s="95" t="s">
        <v>851</v>
      </c>
      <c r="D100" s="36"/>
      <c r="E100" s="42"/>
      <c r="F100" s="42"/>
      <c r="G100" s="66"/>
      <c r="H100" s="113" t="s">
        <v>852</v>
      </c>
      <c r="I100" s="124"/>
      <c r="J100" s="40" t="s">
        <v>188</v>
      </c>
      <c r="K100" s="47" t="e">
        <f>#REF!</f>
        <v>#REF!</v>
      </c>
      <c r="L100" s="40"/>
      <c r="M100" s="20"/>
      <c r="N100" s="30"/>
      <c r="O100" s="41"/>
      <c r="P100" s="45"/>
      <c r="Q100" s="45"/>
    </row>
    <row r="101" spans="1:22" s="46" customFormat="1" ht="15.6" x14ac:dyDescent="0.3">
      <c r="A101" s="94">
        <v>2</v>
      </c>
      <c r="B101" s="95">
        <v>3</v>
      </c>
      <c r="C101" s="95" t="s">
        <v>853</v>
      </c>
      <c r="D101" s="36"/>
      <c r="E101" s="42"/>
      <c r="F101" s="42"/>
      <c r="G101" s="66"/>
      <c r="H101" s="113" t="s">
        <v>854</v>
      </c>
      <c r="I101" s="124"/>
      <c r="J101" s="40" t="s">
        <v>188</v>
      </c>
      <c r="K101" s="47" t="e">
        <f>#REF!</f>
        <v>#REF!</v>
      </c>
      <c r="L101" s="40"/>
      <c r="M101" s="20"/>
      <c r="N101" s="30"/>
      <c r="O101" s="41"/>
      <c r="P101" s="45"/>
      <c r="Q101" s="45"/>
    </row>
    <row r="102" spans="1:22" s="46" customFormat="1" ht="15.6" x14ac:dyDescent="0.3">
      <c r="A102" s="94">
        <v>2</v>
      </c>
      <c r="B102" s="95">
        <v>3</v>
      </c>
      <c r="C102" s="95">
        <v>19</v>
      </c>
      <c r="D102" s="36"/>
      <c r="E102" s="42"/>
      <c r="F102" s="42"/>
      <c r="G102" s="66"/>
      <c r="H102" s="113" t="s">
        <v>855</v>
      </c>
      <c r="I102" s="124"/>
      <c r="J102" s="40" t="s">
        <v>188</v>
      </c>
      <c r="K102" s="47" t="e">
        <f>#REF!</f>
        <v>#REF!</v>
      </c>
      <c r="L102" s="40"/>
      <c r="M102" s="20"/>
      <c r="N102" s="30"/>
      <c r="O102" s="41"/>
      <c r="P102" s="45"/>
      <c r="Q102" s="45"/>
    </row>
    <row r="103" spans="1:22" s="142" customFormat="1" ht="15.6" x14ac:dyDescent="0.3">
      <c r="A103" s="114">
        <v>2</v>
      </c>
      <c r="B103" s="114">
        <v>3</v>
      </c>
      <c r="C103" s="114">
        <v>20</v>
      </c>
      <c r="D103" s="114"/>
      <c r="E103" s="113"/>
      <c r="F103" s="113"/>
      <c r="G103" s="113"/>
      <c r="H103" s="113" t="s">
        <v>856</v>
      </c>
      <c r="I103" s="114"/>
      <c r="J103" s="113" t="s">
        <v>188</v>
      </c>
      <c r="K103" s="140" t="e">
        <f>#REF!</f>
        <v>#REF!</v>
      </c>
      <c r="L103" s="37"/>
      <c r="M103" s="20"/>
      <c r="N103" s="30"/>
      <c r="O103" s="41"/>
      <c r="P103" s="141"/>
      <c r="Q103" s="141"/>
    </row>
    <row r="104" spans="1:22" s="27" customFormat="1" ht="15.6" x14ac:dyDescent="0.3">
      <c r="A104" s="133">
        <v>2</v>
      </c>
      <c r="B104" s="126">
        <v>4</v>
      </c>
      <c r="C104" s="126"/>
      <c r="D104" s="36"/>
      <c r="E104" s="21"/>
      <c r="F104" s="21"/>
      <c r="G104" s="23"/>
      <c r="H104" s="134" t="s">
        <v>857</v>
      </c>
      <c r="I104" s="129"/>
      <c r="J104" s="22"/>
      <c r="K104" s="24" t="e">
        <f>K105+K106+K107+K108+K109+K111+K112+K113+K114+K115+K116+K117+K118+K119+K120+K121+K110</f>
        <v>#REF!</v>
      </c>
      <c r="L104" s="143" t="s">
        <v>713</v>
      </c>
      <c r="M104" s="20"/>
      <c r="N104" s="30"/>
      <c r="O104" s="41"/>
      <c r="P104" s="26"/>
      <c r="Q104" s="26"/>
    </row>
    <row r="105" spans="1:22" s="46" customFormat="1" ht="31.2" x14ac:dyDescent="0.3">
      <c r="A105" s="107">
        <v>2</v>
      </c>
      <c r="B105" s="95">
        <v>4</v>
      </c>
      <c r="C105" s="95" t="s">
        <v>705</v>
      </c>
      <c r="D105" s="36"/>
      <c r="E105" s="42"/>
      <c r="F105" s="42"/>
      <c r="G105" s="66"/>
      <c r="H105" s="108" t="s">
        <v>858</v>
      </c>
      <c r="I105" s="112"/>
      <c r="J105" s="40" t="s">
        <v>188</v>
      </c>
      <c r="K105" s="47" t="e">
        <f>#REF!</f>
        <v>#REF!</v>
      </c>
      <c r="L105" s="143" t="s">
        <v>713</v>
      </c>
      <c r="M105" s="20"/>
      <c r="N105" s="30"/>
      <c r="O105" s="41"/>
      <c r="P105" s="45"/>
      <c r="Q105" s="45" t="e">
        <f>K105</f>
        <v>#REF!</v>
      </c>
    </row>
    <row r="106" spans="1:22" s="46" customFormat="1" ht="15.6" x14ac:dyDescent="0.3">
      <c r="A106" s="94">
        <v>2</v>
      </c>
      <c r="B106" s="95">
        <v>4</v>
      </c>
      <c r="C106" s="95" t="s">
        <v>706</v>
      </c>
      <c r="D106" s="36"/>
      <c r="E106" s="42"/>
      <c r="F106" s="42"/>
      <c r="G106" s="66"/>
      <c r="H106" s="113" t="s">
        <v>859</v>
      </c>
      <c r="I106" s="124"/>
      <c r="J106" s="40" t="s">
        <v>188</v>
      </c>
      <c r="K106" s="47" t="e">
        <f>#REF!</f>
        <v>#REF!</v>
      </c>
      <c r="L106" s="40"/>
      <c r="M106" s="20"/>
      <c r="N106" s="30"/>
      <c r="O106" s="41"/>
      <c r="P106" s="45"/>
      <c r="Q106" s="45"/>
    </row>
    <row r="107" spans="1:22" s="46" customFormat="1" ht="31.2" x14ac:dyDescent="0.3">
      <c r="A107" s="94">
        <v>2</v>
      </c>
      <c r="B107" s="95">
        <v>4</v>
      </c>
      <c r="C107" s="95" t="s">
        <v>707</v>
      </c>
      <c r="D107" s="36"/>
      <c r="E107" s="42"/>
      <c r="F107" s="42"/>
      <c r="G107" s="66"/>
      <c r="H107" s="108" t="s">
        <v>860</v>
      </c>
      <c r="I107" s="112"/>
      <c r="J107" s="40" t="s">
        <v>188</v>
      </c>
      <c r="K107" s="47" t="e">
        <f>#REF!</f>
        <v>#REF!</v>
      </c>
      <c r="L107" s="40"/>
      <c r="M107" s="20"/>
      <c r="N107" s="30"/>
      <c r="O107" s="41"/>
      <c r="P107" s="45"/>
      <c r="Q107" s="45"/>
    </row>
    <row r="108" spans="1:22" s="46" customFormat="1" ht="15.6" x14ac:dyDescent="0.3">
      <c r="A108" s="94">
        <v>2</v>
      </c>
      <c r="B108" s="95">
        <v>4</v>
      </c>
      <c r="C108" s="95" t="s">
        <v>708</v>
      </c>
      <c r="D108" s="36"/>
      <c r="E108" s="42"/>
      <c r="F108" s="42"/>
      <c r="G108" s="66"/>
      <c r="H108" s="113" t="s">
        <v>861</v>
      </c>
      <c r="I108" s="124"/>
      <c r="J108" s="40" t="s">
        <v>188</v>
      </c>
      <c r="K108" s="47" t="e">
        <f>#REF!</f>
        <v>#REF!</v>
      </c>
      <c r="L108" s="40"/>
      <c r="M108" s="20"/>
      <c r="N108" s="30"/>
      <c r="O108" s="41"/>
      <c r="P108" s="45"/>
      <c r="Q108" s="45"/>
    </row>
    <row r="109" spans="1:22" s="46" customFormat="1" ht="31.2" x14ac:dyDescent="0.3">
      <c r="A109" s="94">
        <v>2</v>
      </c>
      <c r="B109" s="95">
        <v>4</v>
      </c>
      <c r="C109" s="95" t="s">
        <v>709</v>
      </c>
      <c r="D109" s="36"/>
      <c r="E109" s="42"/>
      <c r="F109" s="42"/>
      <c r="G109" s="66"/>
      <c r="H109" s="108" t="s">
        <v>862</v>
      </c>
      <c r="I109" s="112"/>
      <c r="J109" s="40" t="s">
        <v>188</v>
      </c>
      <c r="K109" s="47" t="e">
        <f>#REF!</f>
        <v>#REF!</v>
      </c>
      <c r="L109" s="40"/>
      <c r="M109" s="20"/>
      <c r="N109" s="30"/>
      <c r="O109" s="41"/>
      <c r="P109" s="45"/>
      <c r="Q109" s="45"/>
    </row>
    <row r="110" spans="1:22" s="46" customFormat="1" ht="15.6" x14ac:dyDescent="0.3">
      <c r="A110" s="94">
        <v>2</v>
      </c>
      <c r="B110" s="95">
        <v>4</v>
      </c>
      <c r="C110" s="95" t="s">
        <v>710</v>
      </c>
      <c r="D110" s="36"/>
      <c r="E110" s="42"/>
      <c r="F110" s="42"/>
      <c r="G110" s="66"/>
      <c r="H110" s="113" t="s">
        <v>863</v>
      </c>
      <c r="I110" s="124"/>
      <c r="J110" s="40" t="s">
        <v>188</v>
      </c>
      <c r="K110" s="47" t="e">
        <f>#REF!</f>
        <v>#REF!</v>
      </c>
      <c r="L110" s="40"/>
      <c r="M110" s="20"/>
      <c r="N110" s="30"/>
      <c r="O110" s="41"/>
      <c r="P110" s="45"/>
      <c r="Q110" s="45"/>
    </row>
    <row r="111" spans="1:22" s="46" customFormat="1" ht="31.2" x14ac:dyDescent="0.3">
      <c r="A111" s="94">
        <v>2</v>
      </c>
      <c r="B111" s="95">
        <v>4</v>
      </c>
      <c r="C111" s="95" t="s">
        <v>711</v>
      </c>
      <c r="D111" s="36"/>
      <c r="E111" s="42"/>
      <c r="F111" s="42"/>
      <c r="G111" s="66"/>
      <c r="H111" s="108" t="s">
        <v>864</v>
      </c>
      <c r="I111" s="112"/>
      <c r="J111" s="40" t="s">
        <v>188</v>
      </c>
      <c r="K111" s="38" t="e">
        <f>#REF!</f>
        <v>#REF!</v>
      </c>
      <c r="L111" s="40"/>
      <c r="M111" s="20"/>
      <c r="N111" s="30"/>
      <c r="O111" s="41"/>
      <c r="P111" s="45"/>
      <c r="Q111" s="45"/>
    </row>
    <row r="112" spans="1:22" s="46" customFormat="1" ht="31.2" x14ac:dyDescent="0.3">
      <c r="A112" s="94">
        <v>2</v>
      </c>
      <c r="B112" s="95">
        <v>4</v>
      </c>
      <c r="C112" s="95" t="s">
        <v>712</v>
      </c>
      <c r="D112" s="36"/>
      <c r="E112" s="42"/>
      <c r="F112" s="42"/>
      <c r="G112" s="66"/>
      <c r="H112" s="108" t="s">
        <v>865</v>
      </c>
      <c r="I112" s="124"/>
      <c r="J112" s="40" t="s">
        <v>188</v>
      </c>
      <c r="K112" s="38" t="e">
        <f>#REF!</f>
        <v>#REF!</v>
      </c>
      <c r="L112" s="40"/>
      <c r="M112" s="20"/>
      <c r="N112" s="30"/>
      <c r="O112" s="41"/>
      <c r="P112" s="45"/>
      <c r="Q112" s="45"/>
    </row>
    <row r="113" spans="1:17" s="46" customFormat="1" ht="15.6" x14ac:dyDescent="0.3">
      <c r="A113" s="94">
        <v>2</v>
      </c>
      <c r="B113" s="95">
        <v>4</v>
      </c>
      <c r="C113" s="95" t="s">
        <v>731</v>
      </c>
      <c r="D113" s="36"/>
      <c r="E113" s="42"/>
      <c r="F113" s="42"/>
      <c r="G113" s="66"/>
      <c r="H113" s="113" t="s">
        <v>866</v>
      </c>
      <c r="I113" s="124"/>
      <c r="J113" s="40" t="s">
        <v>188</v>
      </c>
      <c r="K113" s="38" t="e">
        <f>#REF!</f>
        <v>#REF!</v>
      </c>
      <c r="L113" s="40"/>
      <c r="M113" s="20"/>
      <c r="N113" s="30"/>
      <c r="O113" s="41"/>
      <c r="P113" s="45"/>
      <c r="Q113" s="45"/>
    </row>
    <row r="114" spans="1:17" s="46" customFormat="1" ht="15.6" x14ac:dyDescent="0.3">
      <c r="A114" s="94">
        <v>2</v>
      </c>
      <c r="B114" s="95">
        <v>4</v>
      </c>
      <c r="C114" s="95" t="s">
        <v>732</v>
      </c>
      <c r="D114" s="36"/>
      <c r="E114" s="42"/>
      <c r="F114" s="42"/>
      <c r="G114" s="66"/>
      <c r="H114" s="113" t="s">
        <v>867</v>
      </c>
      <c r="I114" s="124"/>
      <c r="J114" s="40" t="s">
        <v>188</v>
      </c>
      <c r="K114" s="38" t="e">
        <f>#REF!</f>
        <v>#REF!</v>
      </c>
      <c r="L114" s="40"/>
      <c r="M114" s="20"/>
      <c r="N114" s="30"/>
      <c r="O114" s="41"/>
      <c r="P114" s="45"/>
      <c r="Q114" s="45"/>
    </row>
    <row r="115" spans="1:17" s="46" customFormat="1" ht="31.2" x14ac:dyDescent="0.3">
      <c r="A115" s="94">
        <v>2</v>
      </c>
      <c r="B115" s="95">
        <v>4</v>
      </c>
      <c r="C115" s="95" t="s">
        <v>733</v>
      </c>
      <c r="D115" s="42"/>
      <c r="E115" s="42"/>
      <c r="F115" s="42"/>
      <c r="G115" s="66"/>
      <c r="H115" s="108" t="s">
        <v>868</v>
      </c>
      <c r="I115" s="112"/>
      <c r="J115" s="40" t="s">
        <v>188</v>
      </c>
      <c r="K115" s="47" t="e">
        <f>#REF!</f>
        <v>#REF!</v>
      </c>
      <c r="L115" s="40"/>
      <c r="M115" s="20"/>
      <c r="N115" s="30"/>
      <c r="O115" s="41"/>
      <c r="P115" s="45"/>
      <c r="Q115" s="45"/>
    </row>
    <row r="116" spans="1:17" s="46" customFormat="1" ht="31.2" x14ac:dyDescent="0.3">
      <c r="A116" s="94">
        <v>2</v>
      </c>
      <c r="B116" s="95">
        <v>4</v>
      </c>
      <c r="C116" s="95" t="s">
        <v>734</v>
      </c>
      <c r="D116" s="42"/>
      <c r="E116" s="42"/>
      <c r="F116" s="42"/>
      <c r="G116" s="66"/>
      <c r="H116" s="108" t="s">
        <v>869</v>
      </c>
      <c r="I116" s="112"/>
      <c r="J116" s="40" t="s">
        <v>188</v>
      </c>
      <c r="K116" s="47" t="e">
        <f>#REF!</f>
        <v>#REF!</v>
      </c>
      <c r="L116" s="40"/>
      <c r="M116" s="20"/>
      <c r="N116" s="30"/>
      <c r="O116" s="41"/>
      <c r="P116" s="45"/>
      <c r="Q116" s="45"/>
    </row>
    <row r="117" spans="1:17" s="46" customFormat="1" ht="31.2" x14ac:dyDescent="0.3">
      <c r="A117" s="94">
        <v>2</v>
      </c>
      <c r="B117" s="95">
        <v>4</v>
      </c>
      <c r="C117" s="95" t="s">
        <v>842</v>
      </c>
      <c r="D117" s="42"/>
      <c r="E117" s="42"/>
      <c r="F117" s="42"/>
      <c r="G117" s="66"/>
      <c r="H117" s="108" t="s">
        <v>870</v>
      </c>
      <c r="I117" s="112"/>
      <c r="J117" s="40" t="s">
        <v>188</v>
      </c>
      <c r="K117" s="47" t="e">
        <f>#REF!</f>
        <v>#REF!</v>
      </c>
      <c r="L117" s="40"/>
      <c r="M117" s="20"/>
      <c r="N117" s="30"/>
      <c r="O117" s="41"/>
      <c r="P117" s="45"/>
      <c r="Q117" s="45"/>
    </row>
    <row r="118" spans="1:17" s="46" customFormat="1" ht="31.2" x14ac:dyDescent="0.3">
      <c r="A118" s="94">
        <v>2</v>
      </c>
      <c r="B118" s="95">
        <v>4</v>
      </c>
      <c r="C118" s="95" t="s">
        <v>844</v>
      </c>
      <c r="D118" s="42"/>
      <c r="E118" s="42"/>
      <c r="F118" s="42"/>
      <c r="G118" s="66"/>
      <c r="H118" s="108" t="s">
        <v>871</v>
      </c>
      <c r="I118" s="109"/>
      <c r="J118" s="40" t="s">
        <v>188</v>
      </c>
      <c r="K118" s="47" t="e">
        <f>#REF!</f>
        <v>#REF!</v>
      </c>
      <c r="L118" s="40"/>
      <c r="M118" s="20"/>
      <c r="N118" s="30"/>
      <c r="O118" s="41"/>
      <c r="P118" s="45"/>
      <c r="Q118" s="45"/>
    </row>
    <row r="119" spans="1:17" s="46" customFormat="1" ht="31.2" x14ac:dyDescent="0.3">
      <c r="A119" s="94">
        <v>2</v>
      </c>
      <c r="B119" s="95">
        <v>4</v>
      </c>
      <c r="C119" s="95" t="s">
        <v>846</v>
      </c>
      <c r="D119" s="42"/>
      <c r="E119" s="42"/>
      <c r="F119" s="42"/>
      <c r="G119" s="66"/>
      <c r="H119" s="108" t="s">
        <v>872</v>
      </c>
      <c r="I119" s="112"/>
      <c r="J119" s="40" t="s">
        <v>188</v>
      </c>
      <c r="K119" s="47" t="e">
        <f>#REF!</f>
        <v>#REF!</v>
      </c>
      <c r="L119" s="40"/>
      <c r="M119" s="20"/>
      <c r="N119" s="30"/>
      <c r="O119" s="41"/>
      <c r="P119" s="45"/>
      <c r="Q119" s="45"/>
    </row>
    <row r="120" spans="1:17" s="46" customFormat="1" ht="31.2" x14ac:dyDescent="0.3">
      <c r="A120" s="94">
        <v>2</v>
      </c>
      <c r="B120" s="95">
        <v>4</v>
      </c>
      <c r="C120" s="95" t="s">
        <v>848</v>
      </c>
      <c r="D120" s="42"/>
      <c r="E120" s="42"/>
      <c r="F120" s="42"/>
      <c r="G120" s="66"/>
      <c r="H120" s="108" t="s">
        <v>873</v>
      </c>
      <c r="I120" s="112"/>
      <c r="J120" s="40" t="s">
        <v>188</v>
      </c>
      <c r="K120" s="47" t="e">
        <f>#REF!</f>
        <v>#REF!</v>
      </c>
      <c r="L120" s="40"/>
      <c r="M120" s="20"/>
      <c r="N120" s="30"/>
      <c r="O120" s="41"/>
      <c r="P120" s="45"/>
      <c r="Q120" s="45"/>
    </row>
    <row r="121" spans="1:17" s="151" customFormat="1" ht="31.2" x14ac:dyDescent="0.3">
      <c r="A121" s="148">
        <v>2</v>
      </c>
      <c r="B121" s="149">
        <v>4</v>
      </c>
      <c r="C121" s="149" t="s">
        <v>851</v>
      </c>
      <c r="D121" s="42"/>
      <c r="E121" s="42"/>
      <c r="F121" s="42"/>
      <c r="G121" s="66"/>
      <c r="H121" s="108" t="s">
        <v>874</v>
      </c>
      <c r="I121" s="112"/>
      <c r="J121" s="40" t="s">
        <v>188</v>
      </c>
      <c r="K121" s="47" t="e">
        <f>#REF!</f>
        <v>#REF!</v>
      </c>
      <c r="L121" s="40"/>
      <c r="M121" s="20"/>
      <c r="N121" s="30"/>
      <c r="O121" s="41"/>
      <c r="P121" s="150"/>
      <c r="Q121" s="150"/>
    </row>
    <row r="122" spans="1:17" s="147" customFormat="1" ht="15.6" x14ac:dyDescent="0.3">
      <c r="A122" s="36">
        <v>2</v>
      </c>
      <c r="B122" s="76">
        <v>5</v>
      </c>
      <c r="C122" s="93"/>
      <c r="D122" s="36"/>
      <c r="E122" s="93"/>
      <c r="F122" s="93"/>
      <c r="G122" s="144"/>
      <c r="H122" s="152" t="s">
        <v>875</v>
      </c>
      <c r="I122" s="153"/>
      <c r="J122" s="145"/>
      <c r="K122" s="38" t="e">
        <f>K123+K124+K125</f>
        <v>#REF!</v>
      </c>
      <c r="L122" s="145"/>
      <c r="M122" s="20"/>
      <c r="N122" s="30"/>
      <c r="O122" s="41"/>
      <c r="P122" s="146"/>
      <c r="Q122" s="146"/>
    </row>
    <row r="123" spans="1:17" s="157" customFormat="1" ht="15.6" x14ac:dyDescent="0.3">
      <c r="A123" s="42">
        <v>2</v>
      </c>
      <c r="B123" s="65">
        <v>5</v>
      </c>
      <c r="C123" s="95" t="s">
        <v>705</v>
      </c>
      <c r="D123" s="42"/>
      <c r="E123" s="95"/>
      <c r="F123" s="95"/>
      <c r="G123" s="154"/>
      <c r="H123" s="113" t="s">
        <v>876</v>
      </c>
      <c r="I123" s="109"/>
      <c r="J123" s="155" t="s">
        <v>188</v>
      </c>
      <c r="K123" s="47" t="e">
        <f>#REF!+#REF!</f>
        <v>#REF!</v>
      </c>
      <c r="L123" s="155"/>
      <c r="M123" s="20"/>
      <c r="N123" s="30"/>
      <c r="O123" s="41"/>
      <c r="P123" s="156"/>
      <c r="Q123" s="156"/>
    </row>
    <row r="124" spans="1:17" s="157" customFormat="1" ht="15.6" x14ac:dyDescent="0.3">
      <c r="A124" s="42">
        <v>2</v>
      </c>
      <c r="B124" s="65">
        <v>5</v>
      </c>
      <c r="C124" s="95" t="s">
        <v>706</v>
      </c>
      <c r="D124" s="42"/>
      <c r="E124" s="95"/>
      <c r="F124" s="95"/>
      <c r="G124" s="154"/>
      <c r="H124" s="113" t="s">
        <v>877</v>
      </c>
      <c r="I124" s="109"/>
      <c r="J124" s="155" t="s">
        <v>188</v>
      </c>
      <c r="K124" s="47" t="e">
        <f>#REF!</f>
        <v>#REF!</v>
      </c>
      <c r="L124" s="155"/>
      <c r="M124" s="20"/>
      <c r="N124" s="30"/>
      <c r="O124" s="41"/>
      <c r="P124" s="156"/>
      <c r="Q124" s="156"/>
    </row>
    <row r="125" spans="1:17" s="157" customFormat="1" ht="31.2" x14ac:dyDescent="0.3">
      <c r="A125" s="42">
        <v>2</v>
      </c>
      <c r="B125" s="65">
        <v>5</v>
      </c>
      <c r="C125" s="95" t="s">
        <v>707</v>
      </c>
      <c r="D125" s="42"/>
      <c r="E125" s="95"/>
      <c r="F125" s="95"/>
      <c r="G125" s="154"/>
      <c r="H125" s="108" t="s">
        <v>878</v>
      </c>
      <c r="I125" s="112"/>
      <c r="J125" s="155" t="s">
        <v>97</v>
      </c>
      <c r="K125" s="47" t="e">
        <f>#REF!</f>
        <v>#REF!</v>
      </c>
      <c r="L125" s="155"/>
      <c r="M125" s="20"/>
      <c r="N125" s="30"/>
      <c r="O125" s="41"/>
      <c r="P125" s="156"/>
      <c r="Q125" s="156"/>
    </row>
    <row r="126" spans="1:17" s="147" customFormat="1" ht="15.6" x14ac:dyDescent="0.3">
      <c r="A126" s="36">
        <v>2</v>
      </c>
      <c r="B126" s="76">
        <v>6</v>
      </c>
      <c r="C126" s="93"/>
      <c r="D126" s="36"/>
      <c r="E126" s="93"/>
      <c r="F126" s="93"/>
      <c r="G126" s="144"/>
      <c r="H126" s="152" t="s">
        <v>879</v>
      </c>
      <c r="I126" s="153"/>
      <c r="J126" s="145"/>
      <c r="K126" s="38" t="e">
        <f>K127+K128+K129</f>
        <v>#REF!</v>
      </c>
      <c r="L126" s="37" t="s">
        <v>880</v>
      </c>
      <c r="M126" s="20"/>
      <c r="N126" s="30"/>
      <c r="O126" s="41"/>
      <c r="P126" s="146"/>
      <c r="Q126" s="146"/>
    </row>
    <row r="127" spans="1:17" s="157" customFormat="1" ht="15.6" x14ac:dyDescent="0.3">
      <c r="A127" s="42">
        <v>2</v>
      </c>
      <c r="B127" s="65">
        <v>6</v>
      </c>
      <c r="C127" s="95" t="s">
        <v>705</v>
      </c>
      <c r="D127" s="36"/>
      <c r="E127" s="95"/>
      <c r="F127" s="95"/>
      <c r="G127" s="154"/>
      <c r="H127" s="113" t="s">
        <v>881</v>
      </c>
      <c r="I127" s="109"/>
      <c r="J127" s="155" t="s">
        <v>188</v>
      </c>
      <c r="K127" s="47" t="e">
        <f>#REF!</f>
        <v>#REF!</v>
      </c>
      <c r="L127" s="155"/>
      <c r="M127" s="20"/>
      <c r="N127" s="30"/>
      <c r="O127" s="41"/>
      <c r="P127" s="156"/>
      <c r="Q127" s="156"/>
    </row>
    <row r="128" spans="1:17" s="157" customFormat="1" ht="31.2" x14ac:dyDescent="0.3">
      <c r="A128" s="42">
        <v>2</v>
      </c>
      <c r="B128" s="65">
        <v>6</v>
      </c>
      <c r="C128" s="95" t="s">
        <v>706</v>
      </c>
      <c r="D128" s="42"/>
      <c r="E128" s="95"/>
      <c r="F128" s="95"/>
      <c r="G128" s="154"/>
      <c r="H128" s="108" t="s">
        <v>882</v>
      </c>
      <c r="I128" s="112"/>
      <c r="J128" s="155" t="s">
        <v>188</v>
      </c>
      <c r="K128" s="47" t="e">
        <f>#REF!</f>
        <v>#REF!</v>
      </c>
      <c r="L128" s="37" t="s">
        <v>880</v>
      </c>
      <c r="M128" s="20"/>
      <c r="N128" s="30"/>
      <c r="O128" s="41"/>
      <c r="P128" s="156"/>
      <c r="Q128" s="156"/>
    </row>
    <row r="129" spans="1:25" s="157" customFormat="1" ht="31.2" x14ac:dyDescent="0.3">
      <c r="A129" s="42">
        <v>2</v>
      </c>
      <c r="B129" s="65">
        <v>6</v>
      </c>
      <c r="C129" s="95" t="s">
        <v>707</v>
      </c>
      <c r="D129" s="42"/>
      <c r="E129" s="95"/>
      <c r="F129" s="95"/>
      <c r="G129" s="154"/>
      <c r="H129" s="108" t="s">
        <v>883</v>
      </c>
      <c r="I129" s="112"/>
      <c r="J129" s="155" t="s">
        <v>758</v>
      </c>
      <c r="K129" s="47" t="e">
        <f>#REF!+#REF!</f>
        <v>#REF!</v>
      </c>
      <c r="L129" s="155" t="s">
        <v>713</v>
      </c>
      <c r="M129" s="20"/>
      <c r="N129" s="30"/>
      <c r="O129" s="41"/>
      <c r="P129" s="156"/>
      <c r="Q129" s="156" t="e">
        <f>K129</f>
        <v>#REF!</v>
      </c>
    </row>
    <row r="130" spans="1:25" s="12" customFormat="1" ht="15.6" x14ac:dyDescent="0.3">
      <c r="A130" s="132">
        <v>2</v>
      </c>
      <c r="B130" s="93">
        <v>7</v>
      </c>
      <c r="C130" s="93"/>
      <c r="D130" s="36"/>
      <c r="E130" s="36"/>
      <c r="F130" s="36"/>
      <c r="G130" s="39"/>
      <c r="H130" s="134" t="s">
        <v>884</v>
      </c>
      <c r="I130" s="153"/>
      <c r="J130" s="37"/>
      <c r="K130" s="38" t="e">
        <f>K131+K132</f>
        <v>#REF!</v>
      </c>
      <c r="L130" s="37" t="s">
        <v>713</v>
      </c>
      <c r="M130" s="20"/>
      <c r="N130" s="30"/>
      <c r="O130" s="41"/>
      <c r="P130" s="16"/>
      <c r="Q130" s="16"/>
    </row>
    <row r="131" spans="1:25" s="46" customFormat="1" ht="15.6" x14ac:dyDescent="0.3">
      <c r="A131" s="94">
        <v>2</v>
      </c>
      <c r="B131" s="95">
        <v>7</v>
      </c>
      <c r="C131" s="95" t="s">
        <v>705</v>
      </c>
      <c r="D131" s="36"/>
      <c r="E131" s="42"/>
      <c r="F131" s="42"/>
      <c r="G131" s="66"/>
      <c r="H131" s="113" t="s">
        <v>885</v>
      </c>
      <c r="I131" s="109"/>
      <c r="J131" s="40" t="s">
        <v>188</v>
      </c>
      <c r="K131" s="47" t="e">
        <f>#REF!</f>
        <v>#REF!</v>
      </c>
      <c r="L131" s="40"/>
      <c r="M131" s="20"/>
      <c r="N131" s="30"/>
      <c r="O131" s="41"/>
      <c r="P131" s="45"/>
      <c r="Q131" s="45"/>
    </row>
    <row r="132" spans="1:25" s="46" customFormat="1" ht="31.2" x14ac:dyDescent="0.3">
      <c r="A132" s="94">
        <v>2</v>
      </c>
      <c r="B132" s="95">
        <v>7</v>
      </c>
      <c r="C132" s="95" t="s">
        <v>706</v>
      </c>
      <c r="D132" s="36"/>
      <c r="E132" s="42"/>
      <c r="F132" s="42"/>
      <c r="G132" s="66"/>
      <c r="H132" s="108" t="s">
        <v>886</v>
      </c>
      <c r="I132" s="112"/>
      <c r="J132" s="40" t="s">
        <v>188</v>
      </c>
      <c r="K132" s="47" t="e">
        <f>#REF!</f>
        <v>#REF!</v>
      </c>
      <c r="L132" s="37" t="s">
        <v>713</v>
      </c>
      <c r="M132" s="20"/>
      <c r="N132" s="30"/>
      <c r="O132" s="41"/>
      <c r="P132" s="45"/>
      <c r="Q132" s="45"/>
    </row>
    <row r="133" spans="1:25" s="12" customFormat="1" ht="15.6" x14ac:dyDescent="0.3">
      <c r="A133" s="21">
        <v>2</v>
      </c>
      <c r="B133" s="131">
        <v>8</v>
      </c>
      <c r="C133" s="93"/>
      <c r="D133" s="36"/>
      <c r="E133" s="36"/>
      <c r="F133" s="36"/>
      <c r="G133" s="39"/>
      <c r="H133" s="152" t="s">
        <v>887</v>
      </c>
      <c r="I133" s="153"/>
      <c r="J133" s="37"/>
      <c r="K133" s="38" t="e">
        <f>K134+K135+K136</f>
        <v>#REF!</v>
      </c>
      <c r="L133" s="37"/>
      <c r="M133" s="20"/>
      <c r="N133" s="30"/>
      <c r="O133" s="41"/>
      <c r="P133" s="16"/>
      <c r="Q133" s="16"/>
    </row>
    <row r="134" spans="1:25" s="46" customFormat="1" ht="15.6" x14ac:dyDescent="0.3">
      <c r="A134" s="42">
        <v>2</v>
      </c>
      <c r="B134" s="65">
        <v>8</v>
      </c>
      <c r="C134" s="95" t="s">
        <v>705</v>
      </c>
      <c r="D134" s="42"/>
      <c r="E134" s="42"/>
      <c r="F134" s="42"/>
      <c r="G134" s="66"/>
      <c r="H134" s="113" t="s">
        <v>888</v>
      </c>
      <c r="I134" s="109"/>
      <c r="J134" s="40" t="s">
        <v>188</v>
      </c>
      <c r="K134" s="47" t="e">
        <f>#REF!</f>
        <v>#REF!</v>
      </c>
      <c r="L134" s="40"/>
      <c r="M134" s="20"/>
      <c r="N134" s="30"/>
      <c r="O134" s="41"/>
      <c r="P134" s="45"/>
      <c r="Q134" s="45"/>
    </row>
    <row r="135" spans="1:25" s="46" customFormat="1" ht="30.75" customHeight="1" x14ac:dyDescent="0.3">
      <c r="A135" s="42">
        <v>2</v>
      </c>
      <c r="B135" s="65">
        <v>8</v>
      </c>
      <c r="C135" s="95" t="s">
        <v>706</v>
      </c>
      <c r="D135" s="42"/>
      <c r="E135" s="42"/>
      <c r="F135" s="42"/>
      <c r="G135" s="66"/>
      <c r="H135" s="97" t="s">
        <v>889</v>
      </c>
      <c r="I135" s="114"/>
      <c r="J135" s="40" t="s">
        <v>188</v>
      </c>
      <c r="K135" s="47" t="e">
        <f>#REF!</f>
        <v>#REF!</v>
      </c>
      <c r="L135" s="40"/>
      <c r="M135" s="20"/>
      <c r="N135" s="30"/>
      <c r="O135" s="41"/>
      <c r="P135" s="45"/>
      <c r="Q135" s="45"/>
    </row>
    <row r="136" spans="1:25" s="46" customFormat="1" ht="15.6" x14ac:dyDescent="0.3">
      <c r="A136" s="42">
        <v>2</v>
      </c>
      <c r="B136" s="65">
        <v>8</v>
      </c>
      <c r="C136" s="95" t="s">
        <v>707</v>
      </c>
      <c r="D136" s="42"/>
      <c r="E136" s="42"/>
      <c r="F136" s="42"/>
      <c r="G136" s="66"/>
      <c r="H136" s="113" t="s">
        <v>890</v>
      </c>
      <c r="I136" s="109"/>
      <c r="J136" s="40" t="s">
        <v>188</v>
      </c>
      <c r="K136" s="47" t="e">
        <f>#REF!</f>
        <v>#REF!</v>
      </c>
      <c r="L136" s="40"/>
      <c r="M136" s="20"/>
      <c r="N136" s="30"/>
      <c r="O136" s="41"/>
      <c r="P136" s="45"/>
      <c r="Q136" s="45"/>
    </row>
    <row r="137" spans="1:25" s="27" customFormat="1" ht="15.6" x14ac:dyDescent="0.3">
      <c r="A137" s="21">
        <v>3</v>
      </c>
      <c r="B137" s="131"/>
      <c r="C137" s="131"/>
      <c r="D137" s="36"/>
      <c r="E137" s="21"/>
      <c r="F137" s="21"/>
      <c r="G137" s="23"/>
      <c r="H137" s="22" t="s">
        <v>891</v>
      </c>
      <c r="I137" s="129"/>
      <c r="J137" s="22"/>
      <c r="K137" s="24" t="e">
        <f>K138+K146+K152+K159</f>
        <v>#REF!</v>
      </c>
      <c r="L137" s="22" t="s">
        <v>892</v>
      </c>
      <c r="M137" s="20"/>
      <c r="N137" s="30"/>
      <c r="O137" s="41"/>
      <c r="P137" s="26"/>
      <c r="Q137" s="26"/>
    </row>
    <row r="138" spans="1:25" s="35" customFormat="1" ht="15.6" x14ac:dyDescent="0.3">
      <c r="A138" s="31">
        <v>3</v>
      </c>
      <c r="B138" s="51">
        <v>1</v>
      </c>
      <c r="C138" s="51"/>
      <c r="D138" s="36"/>
      <c r="E138" s="31"/>
      <c r="F138" s="31"/>
      <c r="G138" s="32"/>
      <c r="H138" s="29" t="s">
        <v>893</v>
      </c>
      <c r="I138" s="158"/>
      <c r="J138" s="29"/>
      <c r="K138" s="33" t="e">
        <f>K139+K140+K141+K142+K143+K144+K145</f>
        <v>#REF!</v>
      </c>
      <c r="L138" s="29" t="s">
        <v>894</v>
      </c>
      <c r="M138" s="20"/>
      <c r="N138" s="30"/>
      <c r="O138" s="41"/>
      <c r="P138" s="34"/>
      <c r="Q138" s="34"/>
    </row>
    <row r="139" spans="1:25" s="46" customFormat="1" ht="31.2" x14ac:dyDescent="0.3">
      <c r="A139" s="94">
        <v>3</v>
      </c>
      <c r="B139" s="95">
        <v>1</v>
      </c>
      <c r="C139" s="95" t="s">
        <v>705</v>
      </c>
      <c r="D139" s="42"/>
      <c r="E139" s="42"/>
      <c r="F139" s="42"/>
      <c r="G139" s="66"/>
      <c r="H139" s="159" t="s">
        <v>895</v>
      </c>
      <c r="I139" s="124"/>
      <c r="J139" s="40" t="s">
        <v>188</v>
      </c>
      <c r="K139" s="47" t="e">
        <f>#REF!+#REF!</f>
        <v>#REF!</v>
      </c>
      <c r="L139" s="37" t="s">
        <v>755</v>
      </c>
      <c r="M139" s="20"/>
      <c r="N139" s="30"/>
      <c r="O139" s="41"/>
      <c r="P139" s="45"/>
      <c r="Q139" s="45"/>
    </row>
    <row r="140" spans="1:25" s="46" customFormat="1" ht="31.2" x14ac:dyDescent="0.3">
      <c r="A140" s="94">
        <v>3</v>
      </c>
      <c r="B140" s="95">
        <v>1</v>
      </c>
      <c r="C140" s="95" t="s">
        <v>706</v>
      </c>
      <c r="D140" s="42">
        <v>5</v>
      </c>
      <c r="E140" s="42"/>
      <c r="F140" s="42"/>
      <c r="G140" s="66"/>
      <c r="H140" s="108" t="s">
        <v>896</v>
      </c>
      <c r="I140" s="112"/>
      <c r="J140" s="40" t="s">
        <v>188</v>
      </c>
      <c r="K140" s="47" t="e">
        <f>#REF!</f>
        <v>#REF!</v>
      </c>
      <c r="L140" s="40" t="s">
        <v>8</v>
      </c>
      <c r="M140" s="20"/>
      <c r="N140" s="30"/>
      <c r="O140" s="41"/>
      <c r="P140" s="45"/>
      <c r="Q140" s="45"/>
    </row>
    <row r="141" spans="1:25" s="46" customFormat="1" ht="46.8" x14ac:dyDescent="0.3">
      <c r="A141" s="94">
        <v>3</v>
      </c>
      <c r="B141" s="95">
        <v>1</v>
      </c>
      <c r="C141" s="95" t="s">
        <v>707</v>
      </c>
      <c r="D141" s="42"/>
      <c r="E141" s="42"/>
      <c r="F141" s="42"/>
      <c r="G141" s="66"/>
      <c r="H141" s="108" t="s">
        <v>897</v>
      </c>
      <c r="I141" s="112"/>
      <c r="J141" s="40" t="s">
        <v>97</v>
      </c>
      <c r="K141" s="47" t="e">
        <f>#REF!</f>
        <v>#REF!</v>
      </c>
      <c r="L141" s="40"/>
      <c r="M141" s="20"/>
      <c r="N141" s="30"/>
      <c r="O141" s="41"/>
      <c r="P141" s="45"/>
      <c r="Q141" s="45"/>
    </row>
    <row r="142" spans="1:25" s="46" customFormat="1" ht="15.6" x14ac:dyDescent="0.3">
      <c r="A142" s="94">
        <v>3</v>
      </c>
      <c r="B142" s="95">
        <v>1</v>
      </c>
      <c r="C142" s="95" t="s">
        <v>708</v>
      </c>
      <c r="D142" s="42"/>
      <c r="E142" s="42"/>
      <c r="F142" s="42"/>
      <c r="G142" s="66"/>
      <c r="H142" s="113" t="s">
        <v>898</v>
      </c>
      <c r="I142" s="109"/>
      <c r="J142" s="40" t="s">
        <v>97</v>
      </c>
      <c r="K142" s="47" t="e">
        <f>#REF!</f>
        <v>#REF!</v>
      </c>
      <c r="L142" s="40"/>
      <c r="M142" s="20"/>
      <c r="N142" s="30"/>
      <c r="O142" s="41"/>
      <c r="P142" s="45"/>
      <c r="Q142" s="45"/>
    </row>
    <row r="143" spans="1:25" s="46" customFormat="1" ht="31.2" x14ac:dyDescent="0.3">
      <c r="A143" s="94">
        <v>3</v>
      </c>
      <c r="B143" s="95">
        <v>1</v>
      </c>
      <c r="C143" s="95" t="s">
        <v>709</v>
      </c>
      <c r="D143" s="42"/>
      <c r="E143" s="42"/>
      <c r="F143" s="42"/>
      <c r="G143" s="66"/>
      <c r="H143" s="108" t="s">
        <v>899</v>
      </c>
      <c r="I143" s="109"/>
      <c r="J143" s="40" t="s">
        <v>188</v>
      </c>
      <c r="K143" s="47" t="e">
        <f>#REF!+#REF!</f>
        <v>#REF!</v>
      </c>
      <c r="L143" s="37" t="s">
        <v>730</v>
      </c>
      <c r="M143" s="20"/>
      <c r="N143" s="30"/>
      <c r="O143" s="41"/>
      <c r="P143" s="45"/>
      <c r="Q143" s="45"/>
      <c r="Y143" s="139" t="e">
        <f>K143</f>
        <v>#REF!</v>
      </c>
    </row>
    <row r="144" spans="1:25" s="46" customFormat="1" ht="15.6" x14ac:dyDescent="0.3">
      <c r="A144" s="132">
        <v>3</v>
      </c>
      <c r="B144" s="93">
        <v>1</v>
      </c>
      <c r="C144" s="95" t="s">
        <v>710</v>
      </c>
      <c r="D144" s="42"/>
      <c r="E144" s="42"/>
      <c r="F144" s="42"/>
      <c r="G144" s="66"/>
      <c r="H144" s="113" t="s">
        <v>900</v>
      </c>
      <c r="I144" s="109"/>
      <c r="J144" s="40" t="s">
        <v>188</v>
      </c>
      <c r="K144" s="47" t="e">
        <f>#REF!</f>
        <v>#REF!</v>
      </c>
      <c r="L144" s="40"/>
      <c r="M144" s="20"/>
      <c r="N144" s="30"/>
      <c r="O144" s="41"/>
      <c r="P144" s="45"/>
      <c r="Q144" s="45"/>
    </row>
    <row r="145" spans="1:18" s="46" customFormat="1" ht="31.2" x14ac:dyDescent="0.3">
      <c r="A145" s="94">
        <v>3</v>
      </c>
      <c r="B145" s="95">
        <v>1</v>
      </c>
      <c r="C145" s="95" t="s">
        <v>711</v>
      </c>
      <c r="D145" s="42"/>
      <c r="E145" s="42"/>
      <c r="F145" s="42"/>
      <c r="G145" s="66"/>
      <c r="H145" s="108" t="s">
        <v>901</v>
      </c>
      <c r="I145" s="112"/>
      <c r="J145" s="40" t="s">
        <v>97</v>
      </c>
      <c r="K145" s="47" t="e">
        <f>#REF!</f>
        <v>#REF!</v>
      </c>
      <c r="L145" s="40" t="s">
        <v>713</v>
      </c>
      <c r="M145" s="20"/>
      <c r="N145" s="30"/>
      <c r="O145" s="41"/>
      <c r="P145" s="45"/>
      <c r="Q145" s="45" t="e">
        <f>K145</f>
        <v>#REF!</v>
      </c>
    </row>
    <row r="146" spans="1:18" s="12" customFormat="1" ht="15.6" x14ac:dyDescent="0.3">
      <c r="A146" s="36">
        <v>3</v>
      </c>
      <c r="B146" s="76">
        <v>2</v>
      </c>
      <c r="C146" s="93"/>
      <c r="D146" s="36"/>
      <c r="E146" s="36"/>
      <c r="F146" s="36"/>
      <c r="G146" s="39"/>
      <c r="H146" s="160" t="s">
        <v>902</v>
      </c>
      <c r="I146" s="110"/>
      <c r="J146" s="37"/>
      <c r="K146" s="38" t="e">
        <f>K147+K148+K149+K150+K151</f>
        <v>#REF!</v>
      </c>
      <c r="L146" s="37" t="s">
        <v>903</v>
      </c>
      <c r="M146" s="20"/>
      <c r="N146" s="30"/>
      <c r="O146" s="41"/>
      <c r="P146" s="16"/>
      <c r="Q146" s="16"/>
    </row>
    <row r="147" spans="1:18" s="46" customFormat="1" ht="15.6" x14ac:dyDescent="0.3">
      <c r="A147" s="42">
        <v>3</v>
      </c>
      <c r="B147" s="65">
        <v>2</v>
      </c>
      <c r="C147" s="95" t="s">
        <v>705</v>
      </c>
      <c r="D147" s="42"/>
      <c r="E147" s="42"/>
      <c r="F147" s="42"/>
      <c r="G147" s="66"/>
      <c r="H147" s="113" t="s">
        <v>904</v>
      </c>
      <c r="I147" s="109"/>
      <c r="J147" s="40" t="s">
        <v>905</v>
      </c>
      <c r="K147" s="47" t="e">
        <f>#REF!</f>
        <v>#REF!</v>
      </c>
      <c r="L147" s="40" t="s">
        <v>8</v>
      </c>
      <c r="M147" s="20"/>
      <c r="N147" s="30"/>
      <c r="O147" s="41"/>
      <c r="P147" s="45"/>
      <c r="Q147" s="45"/>
    </row>
    <row r="148" spans="1:18" s="46" customFormat="1" ht="31.2" x14ac:dyDescent="0.3">
      <c r="A148" s="42">
        <v>3</v>
      </c>
      <c r="B148" s="65">
        <v>2</v>
      </c>
      <c r="C148" s="95" t="s">
        <v>706</v>
      </c>
      <c r="D148" s="42"/>
      <c r="E148" s="42"/>
      <c r="F148" s="42"/>
      <c r="G148" s="66"/>
      <c r="H148" s="108" t="s">
        <v>906</v>
      </c>
      <c r="I148" s="112"/>
      <c r="J148" s="40" t="s">
        <v>188</v>
      </c>
      <c r="K148" s="47" t="e">
        <f>#REF!</f>
        <v>#REF!</v>
      </c>
      <c r="L148" s="40"/>
      <c r="M148" s="20"/>
      <c r="N148" s="30"/>
      <c r="O148" s="41"/>
      <c r="P148" s="45"/>
      <c r="Q148" s="45"/>
    </row>
    <row r="149" spans="1:18" s="46" customFormat="1" ht="49.5" customHeight="1" x14ac:dyDescent="0.3">
      <c r="A149" s="42">
        <v>3</v>
      </c>
      <c r="B149" s="65">
        <v>2</v>
      </c>
      <c r="C149" s="95" t="s">
        <v>707</v>
      </c>
      <c r="D149" s="42"/>
      <c r="E149" s="42"/>
      <c r="F149" s="42"/>
      <c r="G149" s="66"/>
      <c r="H149" s="108" t="s">
        <v>907</v>
      </c>
      <c r="I149" s="138" t="s">
        <v>908</v>
      </c>
      <c r="J149" s="40" t="s">
        <v>909</v>
      </c>
      <c r="K149" s="47" t="e">
        <f>#REF!</f>
        <v>#REF!</v>
      </c>
      <c r="L149" s="40" t="s">
        <v>910</v>
      </c>
      <c r="M149" s="20"/>
      <c r="N149" s="30"/>
      <c r="O149" s="41"/>
      <c r="P149" s="45"/>
      <c r="Q149" s="45"/>
    </row>
    <row r="150" spans="1:18" s="46" customFormat="1" ht="31.2" x14ac:dyDescent="0.3">
      <c r="A150" s="42">
        <v>3</v>
      </c>
      <c r="B150" s="65">
        <v>2</v>
      </c>
      <c r="C150" s="95" t="s">
        <v>708</v>
      </c>
      <c r="D150" s="42"/>
      <c r="E150" s="42"/>
      <c r="F150" s="42"/>
      <c r="G150" s="66"/>
      <c r="H150" s="108" t="s">
        <v>911</v>
      </c>
      <c r="I150" s="112"/>
      <c r="J150" s="40" t="s">
        <v>188</v>
      </c>
      <c r="K150" s="47" t="e">
        <f>#REF!</f>
        <v>#REF!</v>
      </c>
      <c r="L150" s="40" t="s">
        <v>77</v>
      </c>
      <c r="M150" s="20"/>
      <c r="N150" s="30"/>
      <c r="O150" s="41"/>
      <c r="P150" s="45"/>
      <c r="Q150" s="45"/>
      <c r="R150" s="139"/>
    </row>
    <row r="151" spans="1:18" s="46" customFormat="1" ht="31.2" x14ac:dyDescent="0.3">
      <c r="A151" s="42">
        <v>3</v>
      </c>
      <c r="B151" s="65">
        <v>2</v>
      </c>
      <c r="C151" s="95" t="s">
        <v>709</v>
      </c>
      <c r="D151" s="42"/>
      <c r="E151" s="42"/>
      <c r="F151" s="42"/>
      <c r="G151" s="66"/>
      <c r="H151" s="108" t="s">
        <v>912</v>
      </c>
      <c r="I151" s="112"/>
      <c r="J151" s="40" t="s">
        <v>188</v>
      </c>
      <c r="K151" s="47" t="e">
        <f>#REF!+#REF!</f>
        <v>#REF!</v>
      </c>
      <c r="L151" s="37" t="s">
        <v>8</v>
      </c>
      <c r="M151" s="20"/>
      <c r="N151" s="30"/>
      <c r="O151" s="41"/>
      <c r="P151" s="45"/>
      <c r="Q151" s="45"/>
    </row>
    <row r="152" spans="1:18" s="12" customFormat="1" ht="15.6" x14ac:dyDescent="0.3">
      <c r="A152" s="132">
        <v>3</v>
      </c>
      <c r="B152" s="76">
        <v>3</v>
      </c>
      <c r="C152" s="93"/>
      <c r="D152" s="36"/>
      <c r="E152" s="36"/>
      <c r="F152" s="36"/>
      <c r="G152" s="39"/>
      <c r="H152" s="22" t="s">
        <v>913</v>
      </c>
      <c r="I152" s="110"/>
      <c r="J152" s="37"/>
      <c r="K152" s="38" t="e">
        <f>K153+K154+K155+K156+K157+K158</f>
        <v>#REF!</v>
      </c>
      <c r="L152" s="37" t="s">
        <v>914</v>
      </c>
      <c r="M152" s="20"/>
      <c r="N152" s="30"/>
      <c r="O152" s="41"/>
      <c r="P152" s="16"/>
      <c r="Q152" s="16"/>
    </row>
    <row r="153" spans="1:18" s="46" customFormat="1" ht="31.2" x14ac:dyDescent="0.3">
      <c r="A153" s="94">
        <v>3</v>
      </c>
      <c r="B153" s="65">
        <v>3</v>
      </c>
      <c r="C153" s="95" t="s">
        <v>705</v>
      </c>
      <c r="D153" s="42"/>
      <c r="E153" s="42"/>
      <c r="F153" s="42"/>
      <c r="G153" s="66"/>
      <c r="H153" s="108" t="s">
        <v>915</v>
      </c>
      <c r="I153" s="112"/>
      <c r="J153" s="40" t="s">
        <v>784</v>
      </c>
      <c r="K153" s="47" t="e">
        <f>#REF!</f>
        <v>#REF!</v>
      </c>
      <c r="L153" s="37"/>
      <c r="M153" s="20"/>
      <c r="N153" s="30"/>
      <c r="O153" s="41"/>
      <c r="P153" s="45"/>
      <c r="Q153" s="45"/>
    </row>
    <row r="154" spans="1:18" s="46" customFormat="1" ht="31.2" x14ac:dyDescent="0.3">
      <c r="A154" s="94">
        <v>3</v>
      </c>
      <c r="B154" s="65">
        <v>3</v>
      </c>
      <c r="C154" s="95" t="s">
        <v>706</v>
      </c>
      <c r="D154" s="42"/>
      <c r="E154" s="42"/>
      <c r="F154" s="42"/>
      <c r="G154" s="66"/>
      <c r="H154" s="108" t="s">
        <v>916</v>
      </c>
      <c r="I154" s="112"/>
      <c r="J154" s="40" t="s">
        <v>97</v>
      </c>
      <c r="K154" s="47" t="e">
        <f>#REF!</f>
        <v>#REF!</v>
      </c>
      <c r="L154" s="37" t="s">
        <v>8</v>
      </c>
      <c r="M154" s="20"/>
      <c r="N154" s="30"/>
      <c r="O154" s="41"/>
      <c r="P154" s="45"/>
      <c r="Q154" s="45"/>
    </row>
    <row r="155" spans="1:18" s="46" customFormat="1" ht="15.6" x14ac:dyDescent="0.3">
      <c r="A155" s="94">
        <v>3</v>
      </c>
      <c r="B155" s="65">
        <v>3</v>
      </c>
      <c r="C155" s="95" t="s">
        <v>707</v>
      </c>
      <c r="D155" s="42"/>
      <c r="E155" s="42"/>
      <c r="F155" s="42"/>
      <c r="G155" s="66"/>
      <c r="H155" s="113" t="s">
        <v>917</v>
      </c>
      <c r="I155" s="109"/>
      <c r="J155" s="40" t="s">
        <v>97</v>
      </c>
      <c r="K155" s="47" t="e">
        <f>#REF!</f>
        <v>#REF!</v>
      </c>
      <c r="L155" s="37" t="s">
        <v>8</v>
      </c>
      <c r="M155" s="20"/>
      <c r="N155" s="30"/>
      <c r="O155" s="41"/>
      <c r="P155" s="45"/>
      <c r="Q155" s="45"/>
    </row>
    <row r="156" spans="1:18" s="46" customFormat="1" ht="31.2" x14ac:dyDescent="0.3">
      <c r="A156" s="94">
        <v>3</v>
      </c>
      <c r="B156" s="65">
        <v>3</v>
      </c>
      <c r="C156" s="95" t="s">
        <v>708</v>
      </c>
      <c r="D156" s="42"/>
      <c r="E156" s="42"/>
      <c r="F156" s="42"/>
      <c r="G156" s="66"/>
      <c r="H156" s="108" t="s">
        <v>918</v>
      </c>
      <c r="I156" s="109"/>
      <c r="J156" s="40" t="s">
        <v>188</v>
      </c>
      <c r="K156" s="47" t="e">
        <f>#REF!</f>
        <v>#REF!</v>
      </c>
      <c r="L156" s="40"/>
      <c r="M156" s="20"/>
      <c r="N156" s="30"/>
      <c r="O156" s="41"/>
      <c r="P156" s="45"/>
      <c r="Q156" s="45"/>
    </row>
    <row r="157" spans="1:18" s="46" customFormat="1" ht="31.2" x14ac:dyDescent="0.3">
      <c r="A157" s="94">
        <v>3</v>
      </c>
      <c r="B157" s="65">
        <v>3</v>
      </c>
      <c r="C157" s="95" t="s">
        <v>709</v>
      </c>
      <c r="D157" s="42"/>
      <c r="E157" s="42"/>
      <c r="F157" s="42"/>
      <c r="G157" s="66"/>
      <c r="H157" s="108" t="s">
        <v>919</v>
      </c>
      <c r="I157" s="112"/>
      <c r="J157" s="40" t="s">
        <v>188</v>
      </c>
      <c r="K157" s="47" t="e">
        <f>#REF!</f>
        <v>#REF!</v>
      </c>
      <c r="L157" s="37"/>
      <c r="M157" s="20"/>
      <c r="N157" s="30"/>
      <c r="O157" s="41"/>
      <c r="P157" s="45"/>
      <c r="Q157" s="45"/>
    </row>
    <row r="158" spans="1:18" s="46" customFormat="1" ht="15.6" x14ac:dyDescent="0.3">
      <c r="A158" s="94">
        <v>3</v>
      </c>
      <c r="B158" s="65">
        <v>3</v>
      </c>
      <c r="C158" s="95" t="s">
        <v>710</v>
      </c>
      <c r="D158" s="42"/>
      <c r="E158" s="42"/>
      <c r="F158" s="42"/>
      <c r="G158" s="66"/>
      <c r="H158" s="96" t="s">
        <v>920</v>
      </c>
      <c r="I158" s="114"/>
      <c r="J158" s="40" t="s">
        <v>97</v>
      </c>
      <c r="K158" s="47" t="e">
        <f>#REF!</f>
        <v>#REF!</v>
      </c>
      <c r="L158" s="37" t="s">
        <v>8</v>
      </c>
      <c r="M158" s="20"/>
      <c r="N158" s="30"/>
      <c r="O158" s="41"/>
      <c r="P158" s="45"/>
      <c r="Q158" s="45"/>
    </row>
    <row r="159" spans="1:18" s="12" customFormat="1" ht="15" customHeight="1" x14ac:dyDescent="0.3">
      <c r="A159" s="132">
        <v>3</v>
      </c>
      <c r="B159" s="76">
        <v>4</v>
      </c>
      <c r="C159" s="93"/>
      <c r="D159" s="36"/>
      <c r="E159" s="36"/>
      <c r="F159" s="36"/>
      <c r="G159" s="39"/>
      <c r="H159" s="161" t="s">
        <v>921</v>
      </c>
      <c r="I159" s="36"/>
      <c r="J159" s="37"/>
      <c r="K159" s="38" t="e">
        <f>K160+K161+K162+K163</f>
        <v>#REF!</v>
      </c>
      <c r="L159" s="37" t="s">
        <v>8</v>
      </c>
      <c r="M159" s="20"/>
      <c r="N159" s="30"/>
      <c r="O159" s="41"/>
      <c r="P159" s="16"/>
      <c r="Q159" s="16"/>
    </row>
    <row r="160" spans="1:18" s="46" customFormat="1" ht="15.6" x14ac:dyDescent="0.3">
      <c r="A160" s="94">
        <v>3</v>
      </c>
      <c r="B160" s="65">
        <v>4</v>
      </c>
      <c r="C160" s="95" t="s">
        <v>705</v>
      </c>
      <c r="D160" s="42"/>
      <c r="E160" s="42"/>
      <c r="F160" s="42"/>
      <c r="G160" s="66"/>
      <c r="H160" s="96" t="s">
        <v>922</v>
      </c>
      <c r="I160" s="42"/>
      <c r="J160" s="40" t="s">
        <v>97</v>
      </c>
      <c r="K160" s="47" t="e">
        <f>#REF!</f>
        <v>#REF!</v>
      </c>
      <c r="L160" s="40"/>
      <c r="M160" s="20"/>
      <c r="N160" s="30"/>
      <c r="O160" s="41"/>
      <c r="P160" s="45"/>
      <c r="Q160" s="45"/>
    </row>
    <row r="161" spans="1:17" s="46" customFormat="1" ht="15.6" x14ac:dyDescent="0.3">
      <c r="A161" s="94">
        <v>3</v>
      </c>
      <c r="B161" s="65">
        <v>4</v>
      </c>
      <c r="C161" s="95" t="s">
        <v>706</v>
      </c>
      <c r="D161" s="42"/>
      <c r="E161" s="42"/>
      <c r="F161" s="42"/>
      <c r="G161" s="66"/>
      <c r="H161" s="96" t="s">
        <v>923</v>
      </c>
      <c r="I161" s="42"/>
      <c r="J161" s="40" t="s">
        <v>97</v>
      </c>
      <c r="K161" s="47" t="e">
        <f>#REF!</f>
        <v>#REF!</v>
      </c>
      <c r="L161" s="40" t="s">
        <v>77</v>
      </c>
      <c r="M161" s="20"/>
      <c r="N161" s="30"/>
      <c r="O161" s="41"/>
      <c r="P161" s="45"/>
      <c r="Q161" s="45"/>
    </row>
    <row r="162" spans="1:17" s="46" customFormat="1" ht="15.6" x14ac:dyDescent="0.3">
      <c r="A162" s="94">
        <v>3</v>
      </c>
      <c r="B162" s="65">
        <v>4</v>
      </c>
      <c r="C162" s="95" t="s">
        <v>707</v>
      </c>
      <c r="D162" s="42"/>
      <c r="E162" s="42"/>
      <c r="F162" s="42"/>
      <c r="G162" s="66"/>
      <c r="H162" s="96" t="s">
        <v>924</v>
      </c>
      <c r="I162" s="42"/>
      <c r="J162" s="40" t="s">
        <v>97</v>
      </c>
      <c r="K162" s="47" t="e">
        <f>#REF!</f>
        <v>#REF!</v>
      </c>
      <c r="L162" s="44" t="s">
        <v>8</v>
      </c>
      <c r="M162" s="20"/>
      <c r="N162" s="30"/>
      <c r="O162" s="41"/>
      <c r="P162" s="45"/>
      <c r="Q162" s="45"/>
    </row>
    <row r="163" spans="1:17" s="46" customFormat="1" ht="15.6" x14ac:dyDescent="0.3">
      <c r="A163" s="94">
        <v>3</v>
      </c>
      <c r="B163" s="65">
        <v>4</v>
      </c>
      <c r="C163" s="95" t="s">
        <v>708</v>
      </c>
      <c r="D163" s="42"/>
      <c r="E163" s="42"/>
      <c r="F163" s="42"/>
      <c r="G163" s="66"/>
      <c r="H163" s="96" t="s">
        <v>925</v>
      </c>
      <c r="I163" s="42"/>
      <c r="J163" s="40" t="s">
        <v>97</v>
      </c>
      <c r="K163" s="47" t="e">
        <f>#REF!</f>
        <v>#REF!</v>
      </c>
      <c r="L163" s="40"/>
      <c r="M163" s="20"/>
      <c r="N163" s="30"/>
      <c r="O163" s="41"/>
      <c r="P163" s="45"/>
      <c r="Q163" s="45"/>
    </row>
    <row r="164" spans="1:17" s="27" customFormat="1" ht="15.6" x14ac:dyDescent="0.3">
      <c r="A164" s="21">
        <v>4</v>
      </c>
      <c r="B164" s="131"/>
      <c r="C164" s="131"/>
      <c r="D164" s="36"/>
      <c r="E164" s="21"/>
      <c r="F164" s="21"/>
      <c r="G164" s="23"/>
      <c r="H164" s="22" t="s">
        <v>926</v>
      </c>
      <c r="I164" s="21"/>
      <c r="J164" s="22"/>
      <c r="K164" s="24" t="e">
        <f>K165+K172+K179+K183+K187+K191+K194</f>
        <v>#REF!</v>
      </c>
      <c r="L164" s="22" t="s">
        <v>713</v>
      </c>
      <c r="M164" s="20"/>
      <c r="N164" s="30"/>
      <c r="O164" s="41"/>
      <c r="P164" s="26"/>
      <c r="Q164" s="26"/>
    </row>
    <row r="165" spans="1:17" s="35" customFormat="1" ht="15.6" x14ac:dyDescent="0.3">
      <c r="A165" s="31">
        <v>4</v>
      </c>
      <c r="B165" s="51">
        <v>1</v>
      </c>
      <c r="C165" s="51"/>
      <c r="D165" s="36"/>
      <c r="E165" s="31"/>
      <c r="F165" s="31"/>
      <c r="G165" s="32"/>
      <c r="H165" s="29" t="s">
        <v>927</v>
      </c>
      <c r="I165" s="31"/>
      <c r="J165" s="29"/>
      <c r="K165" s="33" t="e">
        <f>K166+K167+K168+K169+K170+K171</f>
        <v>#REF!</v>
      </c>
      <c r="L165" s="29"/>
      <c r="M165" s="20"/>
      <c r="N165" s="30"/>
      <c r="O165" s="41"/>
      <c r="P165" s="34"/>
      <c r="Q165" s="34"/>
    </row>
    <row r="166" spans="1:17" s="46" customFormat="1" ht="15.6" x14ac:dyDescent="0.3">
      <c r="A166" s="94">
        <v>4</v>
      </c>
      <c r="B166" s="95">
        <v>1</v>
      </c>
      <c r="C166" s="95" t="s">
        <v>705</v>
      </c>
      <c r="D166" s="42"/>
      <c r="E166" s="42"/>
      <c r="F166" s="42"/>
      <c r="G166" s="66"/>
      <c r="H166" s="162" t="s">
        <v>928</v>
      </c>
      <c r="I166" s="42"/>
      <c r="J166" s="40" t="s">
        <v>188</v>
      </c>
      <c r="K166" s="47" t="e">
        <f>#REF!</f>
        <v>#REF!</v>
      </c>
      <c r="L166" s="40"/>
      <c r="M166" s="20"/>
      <c r="N166" s="30"/>
      <c r="O166" s="41"/>
      <c r="P166" s="45"/>
      <c r="Q166" s="45"/>
    </row>
    <row r="167" spans="1:17" s="46" customFormat="1" ht="15.6" x14ac:dyDescent="0.3">
      <c r="A167" s="94">
        <v>4</v>
      </c>
      <c r="B167" s="95">
        <v>1</v>
      </c>
      <c r="C167" s="95" t="s">
        <v>706</v>
      </c>
      <c r="D167" s="42"/>
      <c r="E167" s="42"/>
      <c r="F167" s="42"/>
      <c r="G167" s="66"/>
      <c r="H167" s="162" t="s">
        <v>929</v>
      </c>
      <c r="I167" s="42"/>
      <c r="J167" s="40" t="s">
        <v>188</v>
      </c>
      <c r="K167" s="47" t="e">
        <f>#REF!</f>
        <v>#REF!</v>
      </c>
      <c r="L167" s="40"/>
      <c r="M167" s="20"/>
      <c r="N167" s="30"/>
      <c r="O167" s="41"/>
      <c r="P167" s="45"/>
      <c r="Q167" s="45"/>
    </row>
    <row r="168" spans="1:17" s="46" customFormat="1" ht="31.2" x14ac:dyDescent="0.3">
      <c r="A168" s="94">
        <v>4</v>
      </c>
      <c r="B168" s="95">
        <v>1</v>
      </c>
      <c r="C168" s="95" t="s">
        <v>707</v>
      </c>
      <c r="D168" s="42"/>
      <c r="E168" s="42"/>
      <c r="F168" s="42"/>
      <c r="G168" s="66"/>
      <c r="H168" s="162" t="s">
        <v>930</v>
      </c>
      <c r="I168" s="42"/>
      <c r="J168" s="40" t="s">
        <v>188</v>
      </c>
      <c r="K168" s="47" t="e">
        <f>#REF!</f>
        <v>#REF!</v>
      </c>
      <c r="L168" s="40"/>
      <c r="M168" s="20"/>
      <c r="N168" s="30"/>
      <c r="O168" s="41"/>
      <c r="P168" s="45"/>
      <c r="Q168" s="45"/>
    </row>
    <row r="169" spans="1:17" s="46" customFormat="1" ht="31.2" x14ac:dyDescent="0.3">
      <c r="A169" s="94">
        <v>4</v>
      </c>
      <c r="B169" s="95">
        <v>1</v>
      </c>
      <c r="C169" s="95" t="s">
        <v>708</v>
      </c>
      <c r="D169" s="42"/>
      <c r="E169" s="42"/>
      <c r="F169" s="42"/>
      <c r="G169" s="66"/>
      <c r="H169" s="162" t="s">
        <v>931</v>
      </c>
      <c r="I169" s="42"/>
      <c r="J169" s="40" t="s">
        <v>188</v>
      </c>
      <c r="K169" s="47" t="e">
        <f>#REF!</f>
        <v>#REF!</v>
      </c>
      <c r="L169" s="40"/>
      <c r="M169" s="20"/>
      <c r="N169" s="30"/>
      <c r="O169" s="41"/>
      <c r="P169" s="45"/>
      <c r="Q169" s="45"/>
    </row>
    <row r="170" spans="1:17" s="46" customFormat="1" ht="15.6" x14ac:dyDescent="0.3">
      <c r="A170" s="94">
        <v>4</v>
      </c>
      <c r="B170" s="95">
        <v>1</v>
      </c>
      <c r="C170" s="95" t="s">
        <v>709</v>
      </c>
      <c r="D170" s="42"/>
      <c r="E170" s="42"/>
      <c r="F170" s="42"/>
      <c r="G170" s="66"/>
      <c r="H170" s="162" t="s">
        <v>932</v>
      </c>
      <c r="I170" s="42"/>
      <c r="J170" s="40" t="s">
        <v>188</v>
      </c>
      <c r="K170" s="47" t="e">
        <f>#REF!</f>
        <v>#REF!</v>
      </c>
      <c r="L170" s="40"/>
      <c r="M170" s="20"/>
      <c r="N170" s="30"/>
      <c r="O170" s="41"/>
      <c r="P170" s="45"/>
      <c r="Q170" s="45"/>
    </row>
    <row r="171" spans="1:17" s="46" customFormat="1" ht="31.2" x14ac:dyDescent="0.3">
      <c r="A171" s="94">
        <v>4</v>
      </c>
      <c r="B171" s="95">
        <v>1</v>
      </c>
      <c r="C171" s="95" t="s">
        <v>710</v>
      </c>
      <c r="D171" s="42"/>
      <c r="E171" s="42"/>
      <c r="F171" s="42"/>
      <c r="G171" s="66"/>
      <c r="H171" s="162" t="s">
        <v>933</v>
      </c>
      <c r="I171" s="42"/>
      <c r="J171" s="40" t="s">
        <v>97</v>
      </c>
      <c r="K171" s="47" t="e">
        <f>#REF!</f>
        <v>#REF!</v>
      </c>
      <c r="L171" s="40"/>
      <c r="M171" s="20"/>
      <c r="N171" s="30"/>
      <c r="O171" s="41"/>
      <c r="P171" s="45"/>
      <c r="Q171" s="45"/>
    </row>
    <row r="172" spans="1:17" s="35" customFormat="1" ht="15.6" x14ac:dyDescent="0.3">
      <c r="A172" s="31">
        <v>4</v>
      </c>
      <c r="B172" s="51">
        <v>2</v>
      </c>
      <c r="C172" s="51"/>
      <c r="D172" s="36"/>
      <c r="E172" s="31"/>
      <c r="F172" s="31"/>
      <c r="G172" s="32"/>
      <c r="H172" s="29" t="s">
        <v>934</v>
      </c>
      <c r="I172" s="31"/>
      <c r="J172" s="29"/>
      <c r="K172" s="33" t="e">
        <f>K173+K174+K175+K176+K177+K178</f>
        <v>#REF!</v>
      </c>
      <c r="L172" s="37" t="s">
        <v>713</v>
      </c>
      <c r="M172" s="20"/>
      <c r="N172" s="30"/>
      <c r="O172" s="41"/>
      <c r="P172" s="34"/>
      <c r="Q172" s="34"/>
    </row>
    <row r="173" spans="1:17" s="46" customFormat="1" ht="31.2" x14ac:dyDescent="0.3">
      <c r="A173" s="94">
        <v>4</v>
      </c>
      <c r="B173" s="95">
        <v>2</v>
      </c>
      <c r="C173" s="95" t="s">
        <v>705</v>
      </c>
      <c r="D173" s="42"/>
      <c r="E173" s="42"/>
      <c r="F173" s="42"/>
      <c r="G173" s="66"/>
      <c r="H173" s="162" t="s">
        <v>935</v>
      </c>
      <c r="I173" s="42"/>
      <c r="J173" s="40" t="s">
        <v>188</v>
      </c>
      <c r="K173" s="47" t="e">
        <f>#REF!+#REF!</f>
        <v>#REF!</v>
      </c>
      <c r="L173" s="37" t="s">
        <v>713</v>
      </c>
      <c r="M173" s="20"/>
      <c r="N173" s="30"/>
      <c r="O173" s="41"/>
      <c r="P173" s="45"/>
      <c r="Q173" s="45"/>
    </row>
    <row r="174" spans="1:17" s="46" customFormat="1" ht="31.2" x14ac:dyDescent="0.3">
      <c r="A174" s="94">
        <v>4</v>
      </c>
      <c r="B174" s="95">
        <v>2</v>
      </c>
      <c r="C174" s="95" t="s">
        <v>706</v>
      </c>
      <c r="D174" s="42"/>
      <c r="E174" s="42"/>
      <c r="F174" s="42"/>
      <c r="G174" s="66"/>
      <c r="H174" s="162" t="s">
        <v>936</v>
      </c>
      <c r="I174" s="65" t="s">
        <v>838</v>
      </c>
      <c r="J174" s="40" t="s">
        <v>188</v>
      </c>
      <c r="K174" s="47" t="e">
        <f>#REF!+#REF!</f>
        <v>#REF!</v>
      </c>
      <c r="L174" s="40"/>
      <c r="M174" s="20"/>
      <c r="N174" s="30"/>
      <c r="O174" s="41"/>
      <c r="P174" s="45"/>
      <c r="Q174" s="45"/>
    </row>
    <row r="175" spans="1:17" s="46" customFormat="1" ht="15.6" x14ac:dyDescent="0.3">
      <c r="A175" s="94">
        <v>4</v>
      </c>
      <c r="B175" s="95">
        <v>2</v>
      </c>
      <c r="C175" s="95" t="s">
        <v>707</v>
      </c>
      <c r="D175" s="42"/>
      <c r="E175" s="42"/>
      <c r="F175" s="42"/>
      <c r="G175" s="66"/>
      <c r="H175" s="162" t="s">
        <v>937</v>
      </c>
      <c r="I175" s="42"/>
      <c r="J175" s="40" t="s">
        <v>188</v>
      </c>
      <c r="K175" s="47" t="e">
        <f>#REF!</f>
        <v>#REF!</v>
      </c>
      <c r="L175" s="40"/>
      <c r="M175" s="20"/>
      <c r="N175" s="30"/>
      <c r="O175" s="41"/>
      <c r="P175" s="45"/>
      <c r="Q175" s="45"/>
    </row>
    <row r="176" spans="1:17" s="46" customFormat="1" ht="15.6" x14ac:dyDescent="0.3">
      <c r="A176" s="94">
        <v>4</v>
      </c>
      <c r="B176" s="95">
        <v>2</v>
      </c>
      <c r="C176" s="95" t="s">
        <v>708</v>
      </c>
      <c r="D176" s="42"/>
      <c r="E176" s="42"/>
      <c r="F176" s="42"/>
      <c r="G176" s="66"/>
      <c r="H176" s="162" t="s">
        <v>938</v>
      </c>
      <c r="I176" s="42"/>
      <c r="J176" s="40" t="s">
        <v>188</v>
      </c>
      <c r="K176" s="47" t="e">
        <f>#REF!</f>
        <v>#REF!</v>
      </c>
      <c r="L176" s="40"/>
      <c r="M176" s="20"/>
      <c r="N176" s="30"/>
      <c r="O176" s="41"/>
      <c r="P176" s="45"/>
      <c r="Q176" s="45"/>
    </row>
    <row r="177" spans="1:17" s="46" customFormat="1" ht="31.2" x14ac:dyDescent="0.3">
      <c r="A177" s="94">
        <v>4</v>
      </c>
      <c r="B177" s="95">
        <v>2</v>
      </c>
      <c r="C177" s="95" t="s">
        <v>709</v>
      </c>
      <c r="D177" s="42"/>
      <c r="E177" s="42"/>
      <c r="F177" s="42"/>
      <c r="G177" s="66"/>
      <c r="H177" s="162" t="s">
        <v>939</v>
      </c>
      <c r="I177" s="42"/>
      <c r="J177" s="40" t="s">
        <v>97</v>
      </c>
      <c r="K177" s="47" t="e">
        <f>#REF!</f>
        <v>#REF!</v>
      </c>
      <c r="L177" s="40" t="s">
        <v>713</v>
      </c>
      <c r="M177" s="20"/>
      <c r="N177" s="30"/>
      <c r="O177" s="41"/>
      <c r="P177" s="45"/>
      <c r="Q177" s="45" t="e">
        <f>K177</f>
        <v>#REF!</v>
      </c>
    </row>
    <row r="178" spans="1:17" s="46" customFormat="1" ht="20.25" customHeight="1" x14ac:dyDescent="0.3">
      <c r="A178" s="94">
        <v>4</v>
      </c>
      <c r="B178" s="95">
        <v>2</v>
      </c>
      <c r="C178" s="95" t="s">
        <v>710</v>
      </c>
      <c r="D178" s="42"/>
      <c r="E178" s="42"/>
      <c r="F178" s="42"/>
      <c r="G178" s="88"/>
      <c r="H178" s="40" t="s">
        <v>940</v>
      </c>
      <c r="I178" s="42"/>
      <c r="J178" s="40" t="s">
        <v>188</v>
      </c>
      <c r="K178" s="47" t="e">
        <f>#REF!</f>
        <v>#REF!</v>
      </c>
      <c r="L178" s="40"/>
      <c r="M178" s="20"/>
      <c r="N178" s="30"/>
      <c r="O178" s="41"/>
      <c r="P178" s="45"/>
      <c r="Q178" s="45"/>
    </row>
    <row r="179" spans="1:17" s="35" customFormat="1" ht="15.6" x14ac:dyDescent="0.3">
      <c r="A179" s="31">
        <v>4</v>
      </c>
      <c r="B179" s="51">
        <v>3</v>
      </c>
      <c r="C179" s="51"/>
      <c r="D179" s="36"/>
      <c r="E179" s="31"/>
      <c r="F179" s="31"/>
      <c r="G179" s="32"/>
      <c r="H179" s="29" t="s">
        <v>941</v>
      </c>
      <c r="I179" s="31"/>
      <c r="J179" s="29"/>
      <c r="K179" s="33" t="e">
        <f>K180+K181+K182</f>
        <v>#REF!</v>
      </c>
      <c r="L179" s="37"/>
      <c r="M179" s="20"/>
      <c r="N179" s="30"/>
      <c r="O179" s="41"/>
      <c r="P179" s="34"/>
      <c r="Q179" s="34"/>
    </row>
    <row r="180" spans="1:17" s="46" customFormat="1" ht="15.6" x14ac:dyDescent="0.3">
      <c r="A180" s="94">
        <v>4</v>
      </c>
      <c r="B180" s="95">
        <v>3</v>
      </c>
      <c r="C180" s="95" t="s">
        <v>705</v>
      </c>
      <c r="D180" s="42"/>
      <c r="E180" s="42"/>
      <c r="F180" s="42"/>
      <c r="G180" s="66"/>
      <c r="H180" s="162" t="s">
        <v>942</v>
      </c>
      <c r="I180" s="42"/>
      <c r="J180" s="40" t="s">
        <v>784</v>
      </c>
      <c r="K180" s="47" t="e">
        <f>#REF!</f>
        <v>#REF!</v>
      </c>
      <c r="L180" s="37" t="s">
        <v>8</v>
      </c>
      <c r="M180" s="20"/>
      <c r="N180" s="30"/>
      <c r="O180" s="41"/>
      <c r="P180" s="45" t="e">
        <f>K180</f>
        <v>#REF!</v>
      </c>
      <c r="Q180" s="45"/>
    </row>
    <row r="181" spans="1:17" s="46" customFormat="1" ht="15.6" x14ac:dyDescent="0.3">
      <c r="A181" s="94">
        <v>4</v>
      </c>
      <c r="B181" s="95">
        <v>3</v>
      </c>
      <c r="C181" s="95" t="s">
        <v>706</v>
      </c>
      <c r="D181" s="42"/>
      <c r="E181" s="42"/>
      <c r="F181" s="42"/>
      <c r="G181" s="66"/>
      <c r="H181" s="162" t="s">
        <v>943</v>
      </c>
      <c r="I181" s="42"/>
      <c r="J181" s="40" t="s">
        <v>784</v>
      </c>
      <c r="K181" s="47" t="e">
        <f>#REF!</f>
        <v>#REF!</v>
      </c>
      <c r="L181" s="37" t="s">
        <v>8</v>
      </c>
      <c r="M181" s="20"/>
      <c r="N181" s="30"/>
      <c r="O181" s="41"/>
      <c r="P181" s="45"/>
      <c r="Q181" s="45"/>
    </row>
    <row r="182" spans="1:17" s="46" customFormat="1" ht="15.6" x14ac:dyDescent="0.3">
      <c r="A182" s="94">
        <v>4</v>
      </c>
      <c r="B182" s="95">
        <v>3</v>
      </c>
      <c r="C182" s="95" t="s">
        <v>707</v>
      </c>
      <c r="D182" s="42"/>
      <c r="E182" s="42"/>
      <c r="F182" s="42"/>
      <c r="G182" s="66"/>
      <c r="H182" s="162" t="s">
        <v>944</v>
      </c>
      <c r="I182" s="42"/>
      <c r="J182" s="40" t="s">
        <v>784</v>
      </c>
      <c r="K182" s="47" t="e">
        <f>#REF!</f>
        <v>#REF!</v>
      </c>
      <c r="L182" s="37" t="s">
        <v>8</v>
      </c>
      <c r="M182" s="20"/>
      <c r="N182" s="30"/>
      <c r="O182" s="41"/>
      <c r="P182" s="45"/>
      <c r="Q182" s="45"/>
    </row>
    <row r="183" spans="1:17" s="12" customFormat="1" ht="15.6" x14ac:dyDescent="0.3">
      <c r="A183" s="21">
        <v>4</v>
      </c>
      <c r="B183" s="131">
        <v>4</v>
      </c>
      <c r="C183" s="76"/>
      <c r="D183" s="36"/>
      <c r="E183" s="36"/>
      <c r="F183" s="36"/>
      <c r="G183" s="39"/>
      <c r="H183" s="163" t="s">
        <v>945</v>
      </c>
      <c r="I183" s="36"/>
      <c r="J183" s="37"/>
      <c r="K183" s="38" t="e">
        <f>K184+K185+K186</f>
        <v>#REF!</v>
      </c>
      <c r="L183" s="37"/>
      <c r="M183" s="20"/>
      <c r="N183" s="30"/>
      <c r="O183" s="41"/>
      <c r="P183" s="16"/>
      <c r="Q183" s="16"/>
    </row>
    <row r="184" spans="1:17" s="46" customFormat="1" ht="15.6" x14ac:dyDescent="0.3">
      <c r="A184" s="42">
        <v>4</v>
      </c>
      <c r="B184" s="65">
        <v>4</v>
      </c>
      <c r="C184" s="65" t="s">
        <v>705</v>
      </c>
      <c r="D184" s="42"/>
      <c r="E184" s="42"/>
      <c r="F184" s="42"/>
      <c r="G184" s="66"/>
      <c r="H184" s="162" t="s">
        <v>946</v>
      </c>
      <c r="I184" s="42"/>
      <c r="J184" s="40" t="s">
        <v>97</v>
      </c>
      <c r="K184" s="47" t="e">
        <f>#REF!</f>
        <v>#REF!</v>
      </c>
      <c r="L184" s="37"/>
      <c r="M184" s="20"/>
      <c r="N184" s="30"/>
      <c r="O184" s="41"/>
      <c r="P184" s="45"/>
      <c r="Q184" s="45"/>
    </row>
    <row r="185" spans="1:17" s="46" customFormat="1" ht="15.6" x14ac:dyDescent="0.3">
      <c r="A185" s="94">
        <v>4</v>
      </c>
      <c r="B185" s="65">
        <v>4</v>
      </c>
      <c r="C185" s="65" t="s">
        <v>706</v>
      </c>
      <c r="D185" s="42"/>
      <c r="E185" s="42"/>
      <c r="F185" s="42"/>
      <c r="G185" s="66"/>
      <c r="H185" s="162" t="s">
        <v>947</v>
      </c>
      <c r="I185" s="42"/>
      <c r="J185" s="40" t="s">
        <v>97</v>
      </c>
      <c r="K185" s="47" t="e">
        <f>#REF!</f>
        <v>#REF!</v>
      </c>
      <c r="L185" s="37"/>
      <c r="M185" s="20"/>
      <c r="N185" s="30"/>
      <c r="O185" s="41"/>
      <c r="P185" s="45"/>
      <c r="Q185" s="45"/>
    </row>
    <row r="186" spans="1:17" s="46" customFormat="1" ht="15.6" x14ac:dyDescent="0.3">
      <c r="A186" s="94">
        <v>4</v>
      </c>
      <c r="B186" s="65">
        <v>4</v>
      </c>
      <c r="C186" s="65" t="s">
        <v>707</v>
      </c>
      <c r="D186" s="42"/>
      <c r="E186" s="42"/>
      <c r="F186" s="42"/>
      <c r="G186" s="66"/>
      <c r="H186" s="162" t="s">
        <v>948</v>
      </c>
      <c r="I186" s="42"/>
      <c r="J186" s="40" t="s">
        <v>97</v>
      </c>
      <c r="K186" s="47" t="e">
        <f>#REF!</f>
        <v>#REF!</v>
      </c>
      <c r="L186" s="37"/>
      <c r="M186" s="20"/>
      <c r="N186" s="30"/>
      <c r="O186" s="41"/>
      <c r="P186" s="45"/>
      <c r="Q186" s="45"/>
    </row>
    <row r="187" spans="1:17" s="12" customFormat="1" ht="15.6" x14ac:dyDescent="0.3">
      <c r="A187" s="21">
        <v>4</v>
      </c>
      <c r="B187" s="131">
        <v>5</v>
      </c>
      <c r="C187" s="76"/>
      <c r="D187" s="36"/>
      <c r="E187" s="36"/>
      <c r="F187" s="36"/>
      <c r="G187" s="39"/>
      <c r="H187" s="134" t="s">
        <v>949</v>
      </c>
      <c r="I187" s="153"/>
      <c r="J187" s="37"/>
      <c r="K187" s="38" t="e">
        <f>K188+K189+K190</f>
        <v>#REF!</v>
      </c>
      <c r="L187" s="37"/>
      <c r="M187" s="20"/>
      <c r="N187" s="30"/>
      <c r="O187" s="41"/>
      <c r="P187" s="16"/>
      <c r="Q187" s="16"/>
    </row>
    <row r="188" spans="1:17" s="46" customFormat="1" ht="15.6" x14ac:dyDescent="0.3">
      <c r="A188" s="42">
        <v>4</v>
      </c>
      <c r="B188" s="65">
        <v>5</v>
      </c>
      <c r="C188" s="65" t="s">
        <v>705</v>
      </c>
      <c r="D188" s="42"/>
      <c r="E188" s="42"/>
      <c r="F188" s="42"/>
      <c r="G188" s="66"/>
      <c r="H188" s="113" t="s">
        <v>950</v>
      </c>
      <c r="I188" s="109"/>
      <c r="J188" s="40" t="s">
        <v>784</v>
      </c>
      <c r="K188" s="47" t="e">
        <f>#REF!</f>
        <v>#REF!</v>
      </c>
      <c r="L188" s="37"/>
      <c r="M188" s="20"/>
      <c r="N188" s="30"/>
      <c r="O188" s="41"/>
      <c r="P188" s="45"/>
      <c r="Q188" s="45"/>
    </row>
    <row r="189" spans="1:17" s="46" customFormat="1" ht="31.2" x14ac:dyDescent="0.3">
      <c r="A189" s="42">
        <v>4</v>
      </c>
      <c r="B189" s="65">
        <v>5</v>
      </c>
      <c r="C189" s="65" t="s">
        <v>706</v>
      </c>
      <c r="D189" s="42"/>
      <c r="E189" s="42"/>
      <c r="F189" s="42"/>
      <c r="G189" s="66"/>
      <c r="H189" s="108" t="s">
        <v>951</v>
      </c>
      <c r="I189" s="109"/>
      <c r="J189" s="40" t="s">
        <v>188</v>
      </c>
      <c r="K189" s="47" t="e">
        <f>#REF!</f>
        <v>#REF!</v>
      </c>
      <c r="L189" s="37"/>
      <c r="M189" s="20"/>
      <c r="N189" s="30"/>
      <c r="O189" s="41"/>
      <c r="P189" s="45"/>
      <c r="Q189" s="45"/>
    </row>
    <row r="190" spans="1:17" s="46" customFormat="1" ht="31.5" customHeight="1" x14ac:dyDescent="0.3">
      <c r="A190" s="42">
        <v>4</v>
      </c>
      <c r="B190" s="65">
        <v>5</v>
      </c>
      <c r="C190" s="65" t="s">
        <v>707</v>
      </c>
      <c r="D190" s="42"/>
      <c r="E190" s="42"/>
      <c r="F190" s="42"/>
      <c r="G190" s="66"/>
      <c r="H190" s="108" t="s">
        <v>952</v>
      </c>
      <c r="I190" s="112"/>
      <c r="J190" s="40" t="s">
        <v>188</v>
      </c>
      <c r="K190" s="47" t="e">
        <f>#REF!</f>
        <v>#REF!</v>
      </c>
      <c r="L190" s="37"/>
      <c r="M190" s="20"/>
      <c r="N190" s="30"/>
      <c r="O190" s="41"/>
      <c r="P190" s="45"/>
      <c r="Q190" s="45"/>
    </row>
    <row r="191" spans="1:17" s="12" customFormat="1" ht="15.6" x14ac:dyDescent="0.3">
      <c r="A191" s="21">
        <v>4</v>
      </c>
      <c r="B191" s="131">
        <v>6</v>
      </c>
      <c r="C191" s="76"/>
      <c r="D191" s="36"/>
      <c r="E191" s="36"/>
      <c r="F191" s="36"/>
      <c r="G191" s="39"/>
      <c r="H191" s="152" t="s">
        <v>953</v>
      </c>
      <c r="I191" s="153"/>
      <c r="J191" s="37"/>
      <c r="K191" s="38" t="e">
        <f>K192+K193</f>
        <v>#REF!</v>
      </c>
      <c r="L191" s="37"/>
      <c r="M191" s="20"/>
      <c r="N191" s="30"/>
      <c r="O191" s="41"/>
      <c r="P191" s="16"/>
      <c r="Q191" s="16"/>
    </row>
    <row r="192" spans="1:17" s="46" customFormat="1" ht="15.6" x14ac:dyDescent="0.3">
      <c r="A192" s="42">
        <v>4</v>
      </c>
      <c r="B192" s="65">
        <v>6</v>
      </c>
      <c r="C192" s="65" t="s">
        <v>705</v>
      </c>
      <c r="D192" s="42"/>
      <c r="E192" s="42"/>
      <c r="F192" s="42"/>
      <c r="G192" s="66"/>
      <c r="H192" s="113" t="s">
        <v>954</v>
      </c>
      <c r="I192" s="109"/>
      <c r="J192" s="40" t="s">
        <v>188</v>
      </c>
      <c r="K192" s="47" t="e">
        <f>#REF!</f>
        <v>#REF!</v>
      </c>
      <c r="L192" s="37"/>
      <c r="M192" s="20"/>
      <c r="N192" s="30"/>
      <c r="O192" s="41"/>
      <c r="P192" s="45"/>
      <c r="Q192" s="45"/>
    </row>
    <row r="193" spans="1:17" s="46" customFormat="1" ht="15.6" x14ac:dyDescent="0.3">
      <c r="A193" s="42">
        <v>4</v>
      </c>
      <c r="B193" s="65">
        <v>6</v>
      </c>
      <c r="C193" s="65" t="s">
        <v>706</v>
      </c>
      <c r="D193" s="42"/>
      <c r="E193" s="42"/>
      <c r="F193" s="42"/>
      <c r="G193" s="66"/>
      <c r="H193" s="113" t="s">
        <v>955</v>
      </c>
      <c r="I193" s="109"/>
      <c r="J193" s="40" t="s">
        <v>97</v>
      </c>
      <c r="K193" s="47" t="e">
        <f>#REF!</f>
        <v>#REF!</v>
      </c>
      <c r="L193" s="40"/>
      <c r="M193" s="20"/>
      <c r="N193" s="30"/>
      <c r="O193" s="41"/>
      <c r="P193" s="45"/>
      <c r="Q193" s="45"/>
    </row>
    <row r="194" spans="1:17" s="12" customFormat="1" ht="15.6" x14ac:dyDescent="0.3">
      <c r="A194" s="36">
        <v>4</v>
      </c>
      <c r="B194" s="76">
        <v>7</v>
      </c>
      <c r="C194" s="76"/>
      <c r="D194" s="36"/>
      <c r="E194" s="36"/>
      <c r="F194" s="36"/>
      <c r="G194" s="39"/>
      <c r="H194" s="152" t="s">
        <v>956</v>
      </c>
      <c r="I194" s="153"/>
      <c r="J194" s="37"/>
      <c r="K194" s="38" t="e">
        <f>K195+K196+K197+K198</f>
        <v>#REF!</v>
      </c>
      <c r="L194" s="37" t="s">
        <v>8</v>
      </c>
      <c r="M194" s="20"/>
      <c r="N194" s="30"/>
      <c r="O194" s="41"/>
      <c r="P194" s="16"/>
      <c r="Q194" s="16"/>
    </row>
    <row r="195" spans="1:17" s="46" customFormat="1" ht="15.6" x14ac:dyDescent="0.3">
      <c r="A195" s="42">
        <v>4</v>
      </c>
      <c r="B195" s="65">
        <v>7</v>
      </c>
      <c r="C195" s="76" t="s">
        <v>705</v>
      </c>
      <c r="D195" s="42"/>
      <c r="E195" s="42"/>
      <c r="F195" s="42"/>
      <c r="G195" s="66"/>
      <c r="H195" s="164" t="s">
        <v>957</v>
      </c>
      <c r="I195" s="165"/>
      <c r="J195" s="40" t="s">
        <v>188</v>
      </c>
      <c r="K195" s="47" t="e">
        <f>#REF!</f>
        <v>#REF!</v>
      </c>
      <c r="L195" s="37" t="s">
        <v>8</v>
      </c>
      <c r="M195" s="20"/>
      <c r="N195" s="30"/>
      <c r="O195" s="41"/>
      <c r="P195" s="45"/>
      <c r="Q195" s="45"/>
    </row>
    <row r="196" spans="1:17" s="46" customFormat="1" ht="13.95" customHeight="1" x14ac:dyDescent="0.3">
      <c r="A196" s="94">
        <v>4</v>
      </c>
      <c r="B196" s="95">
        <v>7</v>
      </c>
      <c r="C196" s="95" t="s">
        <v>706</v>
      </c>
      <c r="D196" s="42"/>
      <c r="E196" s="42"/>
      <c r="F196" s="42"/>
      <c r="G196" s="66"/>
      <c r="H196" s="164" t="s">
        <v>958</v>
      </c>
      <c r="I196" s="165"/>
      <c r="J196" s="40" t="s">
        <v>188</v>
      </c>
      <c r="K196" s="47" t="e">
        <f>#REF!</f>
        <v>#REF!</v>
      </c>
      <c r="L196" s="37" t="s">
        <v>713</v>
      </c>
      <c r="M196" s="20"/>
      <c r="N196" s="30"/>
      <c r="O196" s="41"/>
      <c r="P196" s="45"/>
      <c r="Q196" s="45"/>
    </row>
    <row r="197" spans="1:17" s="46" customFormat="1" ht="15.6" x14ac:dyDescent="0.3">
      <c r="A197" s="94">
        <v>4</v>
      </c>
      <c r="B197" s="95">
        <v>7</v>
      </c>
      <c r="C197" s="65" t="s">
        <v>707</v>
      </c>
      <c r="D197" s="42"/>
      <c r="E197" s="42"/>
      <c r="F197" s="42"/>
      <c r="G197" s="66"/>
      <c r="H197" s="164" t="s">
        <v>959</v>
      </c>
      <c r="I197" s="165"/>
      <c r="J197" s="40" t="s">
        <v>188</v>
      </c>
      <c r="K197" s="47" t="e">
        <f>#REF!+#REF!</f>
        <v>#REF!</v>
      </c>
      <c r="L197" s="40"/>
      <c r="M197" s="20"/>
      <c r="N197" s="30"/>
      <c r="O197" s="41"/>
      <c r="P197" s="45"/>
      <c r="Q197" s="45"/>
    </row>
    <row r="198" spans="1:17" s="46" customFormat="1" ht="31.2" x14ac:dyDescent="0.3">
      <c r="A198" s="42">
        <v>4</v>
      </c>
      <c r="B198" s="65">
        <v>7</v>
      </c>
      <c r="C198" s="65" t="s">
        <v>708</v>
      </c>
      <c r="D198" s="42"/>
      <c r="E198" s="42"/>
      <c r="F198" s="42"/>
      <c r="G198" s="66"/>
      <c r="H198" s="166" t="s">
        <v>960</v>
      </c>
      <c r="I198" s="167"/>
      <c r="J198" s="40" t="s">
        <v>784</v>
      </c>
      <c r="K198" s="47" t="e">
        <f>#REF!</f>
        <v>#REF!</v>
      </c>
      <c r="L198" s="40" t="s">
        <v>713</v>
      </c>
      <c r="M198" s="20"/>
      <c r="N198" s="30"/>
      <c r="O198" s="41"/>
      <c r="P198" s="45"/>
      <c r="Q198" s="45"/>
    </row>
    <row r="199" spans="1:17" s="27" customFormat="1" ht="30" customHeight="1" x14ac:dyDescent="0.3">
      <c r="A199" s="21">
        <v>5</v>
      </c>
      <c r="B199" s="131"/>
      <c r="C199" s="131"/>
      <c r="D199" s="36"/>
      <c r="E199" s="21"/>
      <c r="F199" s="21"/>
      <c r="G199" s="23"/>
      <c r="H199" s="22" t="s">
        <v>961</v>
      </c>
      <c r="I199" s="21"/>
      <c r="J199" s="22"/>
      <c r="K199" s="24" t="e">
        <f>K200+K203+K206</f>
        <v>#REF!</v>
      </c>
      <c r="L199" s="22" t="s">
        <v>713</v>
      </c>
      <c r="M199" s="20"/>
      <c r="N199" s="30"/>
      <c r="O199" s="41"/>
      <c r="P199" s="26"/>
      <c r="Q199" s="26"/>
    </row>
    <row r="200" spans="1:17" s="27" customFormat="1" ht="15.6" x14ac:dyDescent="0.3">
      <c r="A200" s="21">
        <v>5</v>
      </c>
      <c r="B200" s="131">
        <v>1</v>
      </c>
      <c r="C200" s="21"/>
      <c r="D200" s="36"/>
      <c r="E200" s="21"/>
      <c r="F200" s="21"/>
      <c r="G200" s="23"/>
      <c r="H200" s="22" t="s">
        <v>962</v>
      </c>
      <c r="I200" s="21"/>
      <c r="J200" s="22"/>
      <c r="K200" s="24" t="e">
        <f>K201</f>
        <v>#REF!</v>
      </c>
      <c r="L200" s="22" t="s">
        <v>713</v>
      </c>
      <c r="M200" s="20"/>
      <c r="N200" s="30"/>
      <c r="O200" s="41"/>
      <c r="P200" s="26"/>
      <c r="Q200" s="26"/>
    </row>
    <row r="201" spans="1:17" s="35" customFormat="1" ht="15.6" x14ac:dyDescent="0.3">
      <c r="A201" s="31">
        <v>5</v>
      </c>
      <c r="B201" s="51">
        <v>1</v>
      </c>
      <c r="C201" s="51" t="s">
        <v>963</v>
      </c>
      <c r="D201" s="36"/>
      <c r="E201" s="31"/>
      <c r="F201" s="31"/>
      <c r="G201" s="32"/>
      <c r="H201" s="29" t="s">
        <v>962</v>
      </c>
      <c r="I201" s="31"/>
      <c r="J201" s="29"/>
      <c r="K201" s="33" t="e">
        <f>K202</f>
        <v>#REF!</v>
      </c>
      <c r="L201" s="22" t="s">
        <v>713</v>
      </c>
      <c r="M201" s="20"/>
      <c r="N201" s="30"/>
      <c r="O201" s="41"/>
      <c r="P201" s="34"/>
      <c r="Q201" s="34"/>
    </row>
    <row r="202" spans="1:17" s="46" customFormat="1" ht="15.6" x14ac:dyDescent="0.3">
      <c r="A202" s="42">
        <v>5</v>
      </c>
      <c r="B202" s="65">
        <v>1</v>
      </c>
      <c r="C202" s="65" t="s">
        <v>963</v>
      </c>
      <c r="D202" s="36">
        <v>5</v>
      </c>
      <c r="E202" s="42">
        <v>4</v>
      </c>
      <c r="F202" s="42"/>
      <c r="G202" s="66"/>
      <c r="H202" s="40" t="s">
        <v>964</v>
      </c>
      <c r="I202" s="42"/>
      <c r="J202" s="40"/>
      <c r="K202" s="47" t="e">
        <f>#REF!</f>
        <v>#REF!</v>
      </c>
      <c r="L202" s="22" t="s">
        <v>713</v>
      </c>
      <c r="M202" s="20"/>
      <c r="N202" s="30"/>
      <c r="O202" s="41"/>
      <c r="P202" s="45"/>
      <c r="Q202" s="45" t="e">
        <f>K202</f>
        <v>#REF!</v>
      </c>
    </row>
    <row r="203" spans="1:17" s="27" customFormat="1" ht="15.6" x14ac:dyDescent="0.3">
      <c r="A203" s="21">
        <v>5</v>
      </c>
      <c r="B203" s="131">
        <v>2</v>
      </c>
      <c r="C203" s="21"/>
      <c r="D203" s="36"/>
      <c r="E203" s="21"/>
      <c r="F203" s="21"/>
      <c r="G203" s="23"/>
      <c r="H203" s="22" t="s">
        <v>965</v>
      </c>
      <c r="I203" s="21"/>
      <c r="J203" s="22"/>
      <c r="K203" s="24" t="e">
        <f>K204</f>
        <v>#REF!</v>
      </c>
      <c r="L203" s="22" t="s">
        <v>713</v>
      </c>
      <c r="M203" s="20"/>
      <c r="N203" s="30"/>
      <c r="O203" s="41"/>
      <c r="P203" s="26"/>
      <c r="Q203" s="26"/>
    </row>
    <row r="204" spans="1:17" s="35" customFormat="1" ht="15.6" x14ac:dyDescent="0.3">
      <c r="A204" s="31">
        <v>5</v>
      </c>
      <c r="B204" s="51">
        <v>2</v>
      </c>
      <c r="C204" s="51" t="s">
        <v>963</v>
      </c>
      <c r="D204" s="36"/>
      <c r="E204" s="31"/>
      <c r="F204" s="31"/>
      <c r="G204" s="32"/>
      <c r="H204" s="29" t="s">
        <v>965</v>
      </c>
      <c r="I204" s="31"/>
      <c r="J204" s="29"/>
      <c r="K204" s="33" t="e">
        <f>K205</f>
        <v>#REF!</v>
      </c>
      <c r="L204" s="22" t="s">
        <v>713</v>
      </c>
      <c r="M204" s="20"/>
      <c r="N204" s="30"/>
      <c r="O204" s="41"/>
      <c r="P204" s="34"/>
      <c r="Q204" s="34"/>
    </row>
    <row r="205" spans="1:17" s="46" customFormat="1" ht="15.6" x14ac:dyDescent="0.3">
      <c r="A205" s="42">
        <v>5</v>
      </c>
      <c r="B205" s="65">
        <v>2</v>
      </c>
      <c r="C205" s="65" t="s">
        <v>963</v>
      </c>
      <c r="D205" s="36">
        <v>5</v>
      </c>
      <c r="E205" s="42">
        <v>4</v>
      </c>
      <c r="F205" s="42"/>
      <c r="G205" s="66"/>
      <c r="H205" s="40" t="s">
        <v>964</v>
      </c>
      <c r="I205" s="42"/>
      <c r="J205" s="40"/>
      <c r="K205" s="47" t="e">
        <f>#REF!</f>
        <v>#REF!</v>
      </c>
      <c r="L205" s="22" t="s">
        <v>713</v>
      </c>
      <c r="M205" s="20"/>
      <c r="N205" s="30"/>
      <c r="O205" s="41"/>
      <c r="P205" s="45"/>
      <c r="Q205" s="45"/>
    </row>
    <row r="206" spans="1:17" s="27" customFormat="1" ht="15.6" x14ac:dyDescent="0.3">
      <c r="A206" s="21">
        <v>5</v>
      </c>
      <c r="B206" s="131">
        <v>3</v>
      </c>
      <c r="C206" s="21"/>
      <c r="D206" s="36"/>
      <c r="E206" s="21"/>
      <c r="F206" s="21"/>
      <c r="G206" s="23"/>
      <c r="H206" s="22" t="s">
        <v>966</v>
      </c>
      <c r="I206" s="21"/>
      <c r="J206" s="22"/>
      <c r="K206" s="24" t="e">
        <f>K207</f>
        <v>#REF!</v>
      </c>
      <c r="L206" s="22" t="s">
        <v>713</v>
      </c>
      <c r="M206" s="20"/>
      <c r="N206" s="30"/>
      <c r="O206" s="41"/>
      <c r="P206" s="26"/>
      <c r="Q206" s="26"/>
    </row>
    <row r="207" spans="1:17" s="35" customFormat="1" ht="15.6" x14ac:dyDescent="0.3">
      <c r="A207" s="31">
        <v>5</v>
      </c>
      <c r="B207" s="51">
        <v>3</v>
      </c>
      <c r="C207" s="51" t="s">
        <v>963</v>
      </c>
      <c r="D207" s="36"/>
      <c r="E207" s="31"/>
      <c r="F207" s="31"/>
      <c r="G207" s="32"/>
      <c r="H207" s="29" t="s">
        <v>966</v>
      </c>
      <c r="I207" s="31"/>
      <c r="J207" s="29"/>
      <c r="K207" s="33" t="e">
        <f>K208</f>
        <v>#REF!</v>
      </c>
      <c r="L207" s="29" t="s">
        <v>713</v>
      </c>
      <c r="M207" s="20"/>
      <c r="N207" s="30"/>
      <c r="O207" s="41"/>
      <c r="P207" s="34"/>
      <c r="Q207" s="34"/>
    </row>
    <row r="208" spans="1:17" s="46" customFormat="1" ht="15.6" x14ac:dyDescent="0.3">
      <c r="A208" s="42">
        <v>5</v>
      </c>
      <c r="B208" s="65">
        <v>3</v>
      </c>
      <c r="C208" s="65" t="s">
        <v>963</v>
      </c>
      <c r="D208" s="36">
        <v>5</v>
      </c>
      <c r="E208" s="42">
        <v>4</v>
      </c>
      <c r="F208" s="42"/>
      <c r="G208" s="66"/>
      <c r="H208" s="40" t="s">
        <v>964</v>
      </c>
      <c r="I208" s="42"/>
      <c r="J208" s="40"/>
      <c r="K208" s="47" t="e">
        <f>#REF!</f>
        <v>#REF!</v>
      </c>
      <c r="L208" s="40" t="s">
        <v>713</v>
      </c>
      <c r="M208" s="20"/>
      <c r="N208" s="30"/>
      <c r="O208" s="41"/>
      <c r="P208" s="45"/>
      <c r="Q208" s="45"/>
    </row>
    <row r="209" spans="1:19" s="12" customFormat="1" ht="15.6" x14ac:dyDescent="0.3">
      <c r="A209" s="71"/>
      <c r="B209" s="72"/>
      <c r="C209" s="72"/>
      <c r="D209" s="71"/>
      <c r="E209" s="71"/>
      <c r="F209" s="71"/>
      <c r="G209" s="73"/>
      <c r="H209" s="74"/>
      <c r="I209" s="36"/>
      <c r="J209" s="37"/>
      <c r="K209" s="38"/>
      <c r="L209" s="37"/>
      <c r="M209" s="20"/>
      <c r="N209" s="30"/>
      <c r="O209" s="41"/>
      <c r="P209" s="16"/>
      <c r="Q209" s="16"/>
    </row>
    <row r="210" spans="1:19" s="12" customFormat="1" ht="15.6" x14ac:dyDescent="0.3">
      <c r="A210" s="36"/>
      <c r="B210" s="36"/>
      <c r="C210" s="36"/>
      <c r="D210" s="36"/>
      <c r="E210" s="36"/>
      <c r="F210" s="36"/>
      <c r="G210" s="39"/>
      <c r="H210" s="37"/>
      <c r="I210" s="36"/>
      <c r="J210" s="37"/>
      <c r="K210" s="38"/>
      <c r="L210" s="37"/>
      <c r="M210" s="20"/>
      <c r="N210" s="30"/>
      <c r="O210" s="41"/>
      <c r="P210" s="16"/>
      <c r="Q210" s="16"/>
    </row>
    <row r="211" spans="1:19" s="12" customFormat="1" ht="15.6" x14ac:dyDescent="0.3">
      <c r="A211" s="36"/>
      <c r="B211" s="36"/>
      <c r="C211" s="36"/>
      <c r="D211" s="36"/>
      <c r="E211" s="36"/>
      <c r="F211" s="36"/>
      <c r="G211" s="39"/>
      <c r="H211" s="22" t="s">
        <v>967</v>
      </c>
      <c r="I211" s="36"/>
      <c r="J211" s="37"/>
      <c r="K211" s="38" t="e">
        <f>#REF!</f>
        <v>#REF!</v>
      </c>
      <c r="L211" s="37"/>
      <c r="M211" s="20"/>
      <c r="N211" s="30"/>
      <c r="O211" s="41"/>
      <c r="P211" s="16"/>
      <c r="Q211" s="16"/>
    </row>
    <row r="212" spans="1:19" s="12" customFormat="1" ht="15.6" x14ac:dyDescent="0.3">
      <c r="A212" s="36"/>
      <c r="B212" s="36"/>
      <c r="C212" s="36"/>
      <c r="D212" s="36"/>
      <c r="E212" s="36"/>
      <c r="F212" s="36"/>
      <c r="G212" s="39"/>
      <c r="H212" s="22" t="s">
        <v>968</v>
      </c>
      <c r="I212" s="36"/>
      <c r="J212" s="37"/>
      <c r="K212" s="38" t="e">
        <f>#REF!-#REF!</f>
        <v>#REF!</v>
      </c>
      <c r="L212" s="37"/>
      <c r="M212" s="20"/>
      <c r="N212" s="30"/>
      <c r="O212" s="41"/>
      <c r="P212" s="16"/>
      <c r="Q212" s="16"/>
    </row>
    <row r="213" spans="1:19" s="12" customFormat="1" ht="15.6" x14ac:dyDescent="0.3">
      <c r="A213" s="36"/>
      <c r="B213" s="36"/>
      <c r="C213" s="36"/>
      <c r="D213" s="36"/>
      <c r="E213" s="36"/>
      <c r="F213" s="36"/>
      <c r="G213" s="39"/>
      <c r="H213" s="37"/>
      <c r="I213" s="36"/>
      <c r="J213" s="37"/>
      <c r="K213" s="38"/>
      <c r="L213" s="37"/>
      <c r="M213" s="20"/>
      <c r="N213" s="30"/>
      <c r="O213" s="41"/>
      <c r="P213" s="16"/>
      <c r="Q213" s="16"/>
    </row>
    <row r="214" spans="1:19" s="12" customFormat="1" ht="15.6" x14ac:dyDescent="0.3">
      <c r="A214" s="36"/>
      <c r="B214" s="36"/>
      <c r="C214" s="36"/>
      <c r="D214" s="36">
        <v>6</v>
      </c>
      <c r="E214" s="36"/>
      <c r="F214" s="36"/>
      <c r="G214" s="39"/>
      <c r="H214" s="22" t="s">
        <v>969</v>
      </c>
      <c r="I214" s="36"/>
      <c r="J214" s="37"/>
      <c r="K214" s="38">
        <f>K215-K222</f>
        <v>-95090774.300000012</v>
      </c>
      <c r="L214" s="37" t="s">
        <v>970</v>
      </c>
      <c r="M214" s="20"/>
      <c r="N214" s="30"/>
      <c r="O214" s="41"/>
      <c r="P214" s="16"/>
      <c r="Q214" s="16"/>
    </row>
    <row r="215" spans="1:19" s="12" customFormat="1" ht="15.6" x14ac:dyDescent="0.3">
      <c r="A215" s="36"/>
      <c r="B215" s="36"/>
      <c r="C215" s="36"/>
      <c r="D215" s="36">
        <v>6</v>
      </c>
      <c r="E215" s="36">
        <v>1</v>
      </c>
      <c r="F215" s="36"/>
      <c r="G215" s="39"/>
      <c r="H215" s="22" t="s">
        <v>971</v>
      </c>
      <c r="I215" s="36"/>
      <c r="J215" s="37"/>
      <c r="K215" s="38">
        <f>K216+K218+K220</f>
        <v>35193025.699999996</v>
      </c>
      <c r="L215" s="37" t="s">
        <v>970</v>
      </c>
      <c r="M215" s="20"/>
      <c r="N215" s="30"/>
      <c r="O215" s="41"/>
      <c r="P215" s="16"/>
      <c r="Q215" s="16"/>
    </row>
    <row r="216" spans="1:19" s="83" customFormat="1" ht="15.6" x14ac:dyDescent="0.3">
      <c r="A216" s="79"/>
      <c r="B216" s="79"/>
      <c r="C216" s="79"/>
      <c r="D216" s="36">
        <v>6</v>
      </c>
      <c r="E216" s="79">
        <v>1</v>
      </c>
      <c r="F216" s="79">
        <v>1</v>
      </c>
      <c r="G216" s="80"/>
      <c r="H216" s="81" t="s">
        <v>972</v>
      </c>
      <c r="I216" s="79"/>
      <c r="J216" s="81"/>
      <c r="K216" s="82">
        <f>K217</f>
        <v>35193025.699999996</v>
      </c>
      <c r="L216" s="37" t="s">
        <v>970</v>
      </c>
      <c r="M216" s="20"/>
      <c r="N216" s="30"/>
      <c r="O216" s="41"/>
      <c r="P216" s="136"/>
      <c r="Q216" s="136"/>
      <c r="R216" s="12"/>
      <c r="S216" s="12"/>
    </row>
    <row r="217" spans="1:19" s="12" customFormat="1" ht="15.6" x14ac:dyDescent="0.3">
      <c r="A217" s="36"/>
      <c r="B217" s="36"/>
      <c r="C217" s="36"/>
      <c r="D217" s="36">
        <v>6</v>
      </c>
      <c r="E217" s="36">
        <v>1</v>
      </c>
      <c r="F217" s="36">
        <v>1</v>
      </c>
      <c r="G217" s="39">
        <v>1</v>
      </c>
      <c r="H217" s="37" t="s">
        <v>972</v>
      </c>
      <c r="I217" s="36"/>
      <c r="J217" s="37"/>
      <c r="K217" s="38">
        <f>'[2]SILV DD'!C8+'[2]SILV ADD'!F8+'[2]SILP PAD'!F8+'[2]SILV BHP BHR'!C8+[2]lain2!F9</f>
        <v>35193025.699999996</v>
      </c>
      <c r="L217" s="37" t="s">
        <v>970</v>
      </c>
      <c r="M217" s="20"/>
      <c r="N217" s="30"/>
      <c r="O217" s="41"/>
      <c r="P217" s="16"/>
      <c r="Q217" s="16"/>
    </row>
    <row r="218" spans="1:19" s="83" customFormat="1" ht="15.6" x14ac:dyDescent="0.3">
      <c r="A218" s="79"/>
      <c r="B218" s="79"/>
      <c r="C218" s="79"/>
      <c r="D218" s="36">
        <v>6</v>
      </c>
      <c r="E218" s="79">
        <v>1</v>
      </c>
      <c r="F218" s="79">
        <v>2</v>
      </c>
      <c r="G218" s="80"/>
      <c r="H218" s="168" t="s">
        <v>973</v>
      </c>
      <c r="I218" s="79"/>
      <c r="J218" s="81"/>
      <c r="K218" s="82">
        <f>K219</f>
        <v>0</v>
      </c>
      <c r="L218" s="81"/>
      <c r="M218" s="20"/>
      <c r="N218" s="30"/>
      <c r="O218" s="41"/>
      <c r="P218" s="136"/>
      <c r="Q218" s="136"/>
      <c r="R218" s="12"/>
      <c r="S218" s="12"/>
    </row>
    <row r="219" spans="1:19" s="12" customFormat="1" ht="15.6" x14ac:dyDescent="0.3">
      <c r="A219" s="36"/>
      <c r="B219" s="36"/>
      <c r="C219" s="36"/>
      <c r="D219" s="36">
        <v>6</v>
      </c>
      <c r="E219" s="36">
        <v>1</v>
      </c>
      <c r="F219" s="36">
        <v>2</v>
      </c>
      <c r="G219" s="39">
        <v>1</v>
      </c>
      <c r="H219" s="169" t="s">
        <v>973</v>
      </c>
      <c r="I219" s="36"/>
      <c r="J219" s="37"/>
      <c r="K219" s="38"/>
      <c r="L219" s="37"/>
      <c r="M219" s="20"/>
      <c r="N219" s="30"/>
      <c r="O219" s="41"/>
      <c r="P219" s="16"/>
      <c r="Q219" s="16"/>
    </row>
    <row r="220" spans="1:19" s="83" customFormat="1" ht="15.6" x14ac:dyDescent="0.3">
      <c r="A220" s="79"/>
      <c r="B220" s="79"/>
      <c r="C220" s="79"/>
      <c r="D220" s="36">
        <v>6</v>
      </c>
      <c r="E220" s="79">
        <v>1</v>
      </c>
      <c r="F220" s="79">
        <v>3</v>
      </c>
      <c r="G220" s="80"/>
      <c r="H220" s="81" t="s">
        <v>974</v>
      </c>
      <c r="I220" s="79"/>
      <c r="J220" s="81"/>
      <c r="K220" s="82">
        <f>K221</f>
        <v>0</v>
      </c>
      <c r="L220" s="81"/>
      <c r="M220" s="20"/>
      <c r="N220" s="30"/>
      <c r="O220" s="41"/>
      <c r="P220" s="136"/>
      <c r="Q220" s="136"/>
      <c r="R220" s="12"/>
      <c r="S220" s="12"/>
    </row>
    <row r="221" spans="1:19" s="12" customFormat="1" ht="15.6" x14ac:dyDescent="0.3">
      <c r="A221" s="36"/>
      <c r="B221" s="36"/>
      <c r="C221" s="36"/>
      <c r="D221" s="36">
        <v>6</v>
      </c>
      <c r="E221" s="36">
        <v>1</v>
      </c>
      <c r="F221" s="36">
        <v>3</v>
      </c>
      <c r="G221" s="39">
        <v>1</v>
      </c>
      <c r="H221" s="37" t="s">
        <v>974</v>
      </c>
      <c r="I221" s="36"/>
      <c r="J221" s="37"/>
      <c r="K221" s="38"/>
      <c r="L221" s="37"/>
      <c r="M221" s="20"/>
      <c r="N221" s="30"/>
      <c r="O221" s="41"/>
      <c r="P221" s="16"/>
      <c r="Q221" s="16"/>
    </row>
    <row r="222" spans="1:19" s="12" customFormat="1" ht="15.6" x14ac:dyDescent="0.3">
      <c r="A222" s="36"/>
      <c r="B222" s="36"/>
      <c r="C222" s="36"/>
      <c r="D222" s="36">
        <v>6</v>
      </c>
      <c r="E222" s="36">
        <v>2</v>
      </c>
      <c r="F222" s="36"/>
      <c r="G222" s="39"/>
      <c r="H222" s="22" t="s">
        <v>975</v>
      </c>
      <c r="I222" s="36"/>
      <c r="J222" s="37"/>
      <c r="K222" s="38">
        <f>K223+K225</f>
        <v>130283800</v>
      </c>
      <c r="L222" s="37"/>
      <c r="M222" s="20"/>
      <c r="N222" s="30"/>
      <c r="O222" s="41"/>
      <c r="P222" s="16"/>
      <c r="Q222" s="45">
        <f>K222</f>
        <v>130283800</v>
      </c>
    </row>
    <row r="223" spans="1:19" s="83" customFormat="1" ht="15.6" x14ac:dyDescent="0.3">
      <c r="A223" s="79"/>
      <c r="B223" s="79"/>
      <c r="C223" s="79"/>
      <c r="D223" s="36">
        <v>6</v>
      </c>
      <c r="E223" s="79">
        <v>2</v>
      </c>
      <c r="F223" s="79">
        <v>1</v>
      </c>
      <c r="G223" s="80"/>
      <c r="H223" s="81" t="s">
        <v>976</v>
      </c>
      <c r="I223" s="79"/>
      <c r="J223" s="81"/>
      <c r="K223" s="82">
        <f>K224</f>
        <v>0</v>
      </c>
      <c r="L223" s="81"/>
      <c r="M223" s="20"/>
      <c r="N223" s="30"/>
      <c r="O223" s="41"/>
      <c r="P223" s="136"/>
      <c r="Q223" s="136"/>
      <c r="R223" s="12"/>
      <c r="S223" s="12"/>
    </row>
    <row r="224" spans="1:19" s="12" customFormat="1" ht="15.6" x14ac:dyDescent="0.3">
      <c r="A224" s="36"/>
      <c r="B224" s="36"/>
      <c r="C224" s="36"/>
      <c r="D224" s="36">
        <v>6</v>
      </c>
      <c r="E224" s="36">
        <v>2</v>
      </c>
      <c r="F224" s="36">
        <v>1</v>
      </c>
      <c r="G224" s="39">
        <v>1</v>
      </c>
      <c r="H224" s="37" t="s">
        <v>976</v>
      </c>
      <c r="I224" s="36"/>
      <c r="J224" s="37"/>
      <c r="K224" s="38"/>
      <c r="L224" s="37"/>
      <c r="M224" s="20"/>
      <c r="N224" s="30"/>
      <c r="O224" s="41"/>
      <c r="P224" s="16"/>
      <c r="Q224" s="16"/>
    </row>
    <row r="225" spans="1:27" s="83" customFormat="1" ht="15.6" x14ac:dyDescent="0.3">
      <c r="A225" s="79"/>
      <c r="B225" s="79"/>
      <c r="C225" s="79"/>
      <c r="D225" s="36">
        <v>6</v>
      </c>
      <c r="E225" s="79">
        <v>2</v>
      </c>
      <c r="F225" s="79">
        <v>2</v>
      </c>
      <c r="G225" s="80"/>
      <c r="H225" s="81" t="s">
        <v>977</v>
      </c>
      <c r="I225" s="79"/>
      <c r="J225" s="81"/>
      <c r="K225" s="82">
        <f>K226</f>
        <v>130283800</v>
      </c>
      <c r="L225" s="37"/>
      <c r="M225" s="20"/>
      <c r="N225" s="30"/>
      <c r="O225" s="41"/>
      <c r="P225" s="136"/>
      <c r="Q225" s="136"/>
      <c r="R225" s="18"/>
      <c r="S225" s="18"/>
    </row>
    <row r="226" spans="1:27" s="12" customFormat="1" ht="15.6" x14ac:dyDescent="0.3">
      <c r="A226" s="36"/>
      <c r="B226" s="36"/>
      <c r="C226" s="36"/>
      <c r="D226" s="36">
        <v>6</v>
      </c>
      <c r="E226" s="36">
        <v>2</v>
      </c>
      <c r="F226" s="36">
        <v>2</v>
      </c>
      <c r="G226" s="39">
        <v>1</v>
      </c>
      <c r="H226" s="37" t="s">
        <v>977</v>
      </c>
      <c r="I226" s="36"/>
      <c r="J226" s="37"/>
      <c r="K226" s="38">
        <f>[2]DD!K203</f>
        <v>130283800</v>
      </c>
      <c r="L226" s="37"/>
      <c r="M226" s="20"/>
      <c r="N226" s="30"/>
      <c r="O226" s="41"/>
      <c r="P226" s="16"/>
      <c r="Q226" s="16"/>
      <c r="R226" s="18"/>
      <c r="S226" s="18"/>
    </row>
    <row r="227" spans="1:27" s="12" customFormat="1" ht="18" customHeight="1" x14ac:dyDescent="0.3">
      <c r="A227" s="36"/>
      <c r="B227" s="36"/>
      <c r="C227" s="36"/>
      <c r="D227" s="36"/>
      <c r="E227" s="36"/>
      <c r="F227" s="36"/>
      <c r="G227" s="39"/>
      <c r="H227" s="37"/>
      <c r="I227" s="36"/>
      <c r="J227" s="37"/>
      <c r="K227" s="38"/>
      <c r="L227" s="37"/>
      <c r="M227" s="20"/>
      <c r="N227" s="30"/>
      <c r="O227" s="41"/>
      <c r="P227" s="16"/>
      <c r="Q227" s="16"/>
    </row>
    <row r="228" spans="1:27" s="176" customFormat="1" ht="32.25" customHeight="1" x14ac:dyDescent="0.3">
      <c r="A228" s="170"/>
      <c r="B228" s="170"/>
      <c r="C228" s="170"/>
      <c r="D228" s="170"/>
      <c r="E228" s="170"/>
      <c r="F228" s="170"/>
      <c r="G228" s="171"/>
      <c r="H228" s="172" t="s">
        <v>978</v>
      </c>
      <c r="I228" s="170"/>
      <c r="J228" s="172"/>
      <c r="K228" s="173">
        <f>K215-K222</f>
        <v>-95090774.300000012</v>
      </c>
      <c r="L228" s="172"/>
      <c r="M228" s="20"/>
      <c r="N228" s="30"/>
      <c r="O228" s="41"/>
      <c r="P228" s="174"/>
      <c r="Q228" s="174"/>
      <c r="R228" s="175"/>
      <c r="S228" s="175"/>
    </row>
    <row r="229" spans="1:27" s="176" customFormat="1" ht="20.100000000000001" customHeight="1" x14ac:dyDescent="0.3">
      <c r="A229" s="177"/>
      <c r="B229" s="178"/>
      <c r="C229" s="178"/>
      <c r="D229" s="178"/>
      <c r="E229" s="178"/>
      <c r="F229" s="178"/>
      <c r="G229" s="171"/>
      <c r="H229" s="178" t="s">
        <v>979</v>
      </c>
      <c r="I229" s="170"/>
      <c r="J229" s="178"/>
      <c r="K229" s="173" t="e">
        <f>K212+K228</f>
        <v>#REF!</v>
      </c>
      <c r="L229" s="178"/>
      <c r="M229" s="20"/>
      <c r="N229" s="30"/>
      <c r="O229" s="41"/>
      <c r="P229" s="174"/>
      <c r="Q229" s="174"/>
    </row>
    <row r="230" spans="1:27" s="12" customFormat="1" ht="15.6" x14ac:dyDescent="0.3">
      <c r="A230" s="179"/>
      <c r="B230" s="180"/>
      <c r="C230" s="180"/>
      <c r="D230" s="180"/>
      <c r="E230" s="180"/>
      <c r="F230" s="180"/>
      <c r="G230" s="181"/>
      <c r="H230" s="180"/>
      <c r="I230" s="182"/>
      <c r="J230" s="180"/>
      <c r="K230" s="194" t="s">
        <v>980</v>
      </c>
      <c r="L230" s="194"/>
      <c r="M230" s="20"/>
      <c r="N230" s="30"/>
      <c r="O230" s="20"/>
      <c r="P230" s="16"/>
      <c r="Q230" s="16"/>
    </row>
    <row r="231" spans="1:27" s="12" customFormat="1" ht="15.6" x14ac:dyDescent="0.3">
      <c r="A231" s="179"/>
      <c r="B231" s="180"/>
      <c r="C231" s="180"/>
      <c r="D231" s="180"/>
      <c r="E231" s="180"/>
      <c r="F231" s="180"/>
      <c r="G231" s="181"/>
      <c r="H231" s="180"/>
      <c r="I231" s="182"/>
      <c r="J231" s="180"/>
      <c r="K231" s="194" t="s">
        <v>981</v>
      </c>
      <c r="L231" s="194"/>
      <c r="M231" s="20"/>
      <c r="N231" s="30"/>
      <c r="O231" s="20"/>
      <c r="P231" s="16"/>
      <c r="Q231" s="16"/>
    </row>
    <row r="232" spans="1:27" s="12" customFormat="1" ht="15.6" x14ac:dyDescent="0.3">
      <c r="A232" s="179"/>
      <c r="B232" s="180"/>
      <c r="C232" s="180"/>
      <c r="D232" s="180"/>
      <c r="E232" s="180"/>
      <c r="F232" s="180"/>
      <c r="G232" s="181"/>
      <c r="H232" s="180"/>
      <c r="I232" s="182"/>
      <c r="J232" s="180"/>
      <c r="K232" s="183"/>
      <c r="L232" s="182"/>
      <c r="M232" s="20"/>
      <c r="N232" s="30"/>
      <c r="O232" s="20"/>
      <c r="P232" s="16"/>
      <c r="Q232" s="16"/>
    </row>
    <row r="233" spans="1:27" s="12" customFormat="1" ht="15.6" x14ac:dyDescent="0.3">
      <c r="A233" s="179"/>
      <c r="B233" s="180"/>
      <c r="C233" s="180"/>
      <c r="D233" s="180"/>
      <c r="E233" s="180"/>
      <c r="F233" s="180"/>
      <c r="G233" s="181"/>
      <c r="H233" s="180"/>
      <c r="I233" s="182"/>
      <c r="J233" s="180"/>
      <c r="K233" s="183">
        <v>23904346.699999999</v>
      </c>
      <c r="L233" s="182"/>
      <c r="M233" s="20"/>
      <c r="N233" s="30"/>
      <c r="O233" s="20"/>
      <c r="P233" s="16"/>
      <c r="Q233" s="16"/>
    </row>
    <row r="234" spans="1:27" s="12" customFormat="1" ht="15.6" x14ac:dyDescent="0.3">
      <c r="A234" s="179"/>
      <c r="B234" s="180"/>
      <c r="C234" s="180"/>
      <c r="D234" s="180"/>
      <c r="E234" s="180"/>
      <c r="F234" s="180"/>
      <c r="G234" s="181"/>
      <c r="H234" s="180"/>
      <c r="I234" s="182"/>
      <c r="J234" s="180"/>
      <c r="K234" s="183" t="e">
        <f>K233-K229</f>
        <v>#REF!</v>
      </c>
      <c r="L234" s="182"/>
      <c r="M234" s="20"/>
      <c r="N234" s="30"/>
      <c r="O234" s="20"/>
      <c r="P234" s="16"/>
      <c r="Q234" s="16"/>
    </row>
    <row r="235" spans="1:27" s="12" customFormat="1" ht="15.6" x14ac:dyDescent="0.3">
      <c r="A235" s="179"/>
      <c r="B235" s="180"/>
      <c r="C235" s="180"/>
      <c r="D235" s="180"/>
      <c r="E235" s="180"/>
      <c r="F235" s="180"/>
      <c r="G235" s="181"/>
      <c r="H235" s="180"/>
      <c r="I235" s="182"/>
      <c r="J235" s="180"/>
      <c r="K235" s="183"/>
      <c r="L235" s="182"/>
      <c r="M235" s="20"/>
      <c r="N235" s="30"/>
      <c r="O235" s="20"/>
      <c r="P235" s="16"/>
      <c r="Q235" s="16"/>
    </row>
    <row r="236" spans="1:27" s="12" customFormat="1" ht="15.6" x14ac:dyDescent="0.3">
      <c r="G236" s="13"/>
      <c r="I236" s="14"/>
      <c r="K236" s="195" t="s">
        <v>982</v>
      </c>
      <c r="L236" s="195"/>
      <c r="M236" s="184"/>
      <c r="N236" s="30"/>
      <c r="O236" s="184"/>
      <c r="P236" s="16"/>
      <c r="Q236" s="16"/>
    </row>
    <row r="237" spans="1:27" s="12" customFormat="1" ht="15.6" x14ac:dyDescent="0.3">
      <c r="G237" s="13"/>
      <c r="I237" s="14"/>
      <c r="K237" s="183"/>
      <c r="L237" s="182"/>
      <c r="M237" s="20"/>
      <c r="N237" s="30"/>
      <c r="O237" s="20"/>
      <c r="P237" s="16"/>
      <c r="Q237" s="16"/>
    </row>
    <row r="238" spans="1:27" s="12" customFormat="1" ht="15.6" x14ac:dyDescent="0.3">
      <c r="G238" s="13"/>
      <c r="H238" s="12" t="s">
        <v>714</v>
      </c>
      <c r="I238" s="14"/>
      <c r="K238" s="183">
        <f>'[3]Kumpulan Silpa'!C10</f>
        <v>861347.09999999986</v>
      </c>
      <c r="L238" s="185"/>
      <c r="M238" s="20"/>
      <c r="N238" s="30"/>
      <c r="O238" s="20"/>
      <c r="P238" s="16"/>
      <c r="Q238" s="16"/>
    </row>
    <row r="239" spans="1:27" s="4" customFormat="1" ht="15.6" x14ac:dyDescent="0.25">
      <c r="A239" s="2"/>
      <c r="B239" s="2"/>
      <c r="C239" s="2"/>
      <c r="D239" s="2"/>
      <c r="E239" s="2"/>
      <c r="F239" s="2"/>
      <c r="G239" s="2"/>
      <c r="H239" s="2" t="s">
        <v>983</v>
      </c>
      <c r="I239" s="9"/>
      <c r="J239" s="2"/>
      <c r="K239" s="186">
        <f>'[3]Kumpulan Silpa'!C7</f>
        <v>273056.87999999896</v>
      </c>
      <c r="L239" s="187"/>
      <c r="M239" s="3"/>
      <c r="N239" s="30"/>
      <c r="O239" s="3"/>
      <c r="P239" s="3"/>
      <c r="Q239" s="3"/>
      <c r="T239" s="2"/>
      <c r="U239" s="2"/>
      <c r="V239" s="2"/>
      <c r="W239" s="2"/>
      <c r="X239" s="2"/>
      <c r="Y239" s="2"/>
      <c r="Z239" s="2"/>
      <c r="AA239" s="2"/>
    </row>
    <row r="240" spans="1:27" s="4" customFormat="1" ht="15.6" x14ac:dyDescent="0.25">
      <c r="A240" s="2"/>
      <c r="B240" s="2"/>
      <c r="C240" s="2"/>
      <c r="D240" s="2"/>
      <c r="E240" s="2"/>
      <c r="F240" s="2"/>
      <c r="G240" s="2"/>
      <c r="H240" s="2" t="s">
        <v>984</v>
      </c>
      <c r="I240" s="9"/>
      <c r="J240" s="2"/>
      <c r="K240" s="188">
        <f>'[3]SILV ADD'!H44</f>
        <v>10</v>
      </c>
      <c r="L240" s="189"/>
      <c r="M240" s="3"/>
      <c r="N240" s="30"/>
      <c r="O240" s="3"/>
      <c r="P240" s="3"/>
      <c r="Q240" s="3"/>
      <c r="T240" s="2"/>
      <c r="U240" s="2"/>
      <c r="V240" s="2"/>
      <c r="W240" s="2"/>
      <c r="X240" s="2"/>
      <c r="Y240" s="2"/>
      <c r="Z240" s="2"/>
      <c r="AA240" s="2"/>
    </row>
    <row r="241" spans="1:27" s="4" customFormat="1" ht="15.6" x14ac:dyDescent="0.25">
      <c r="A241" s="2"/>
      <c r="B241" s="2"/>
      <c r="C241" s="2"/>
      <c r="D241" s="2"/>
      <c r="E241" s="2"/>
      <c r="F241" s="2"/>
      <c r="G241" s="2"/>
      <c r="H241" s="2" t="s">
        <v>985</v>
      </c>
      <c r="I241" s="9"/>
      <c r="J241" s="2"/>
      <c r="K241" s="188">
        <f>'[3]BHP PPR'!H40</f>
        <v>0</v>
      </c>
      <c r="L241" s="189"/>
      <c r="M241" s="3"/>
      <c r="N241" s="30"/>
      <c r="O241" s="3"/>
      <c r="P241" s="3"/>
      <c r="Q241" s="3"/>
      <c r="T241" s="2"/>
      <c r="U241" s="2"/>
      <c r="V241" s="2"/>
      <c r="W241" s="2"/>
      <c r="X241" s="2"/>
      <c r="Y241" s="2"/>
      <c r="Z241" s="2"/>
      <c r="AA241" s="2"/>
    </row>
    <row r="242" spans="1:27" s="4" customFormat="1" ht="15.6" x14ac:dyDescent="0.25">
      <c r="A242" s="2"/>
      <c r="B242" s="2"/>
      <c r="C242" s="2"/>
      <c r="D242" s="2"/>
      <c r="E242" s="2"/>
      <c r="F242" s="2"/>
      <c r="G242" s="2"/>
      <c r="H242" s="2"/>
      <c r="I242" s="9"/>
      <c r="J242" s="2"/>
      <c r="K242" s="190">
        <f>SUM(K238:K241)</f>
        <v>1134413.9799999988</v>
      </c>
      <c r="L242" s="187"/>
      <c r="M242" s="3"/>
      <c r="N242" s="30"/>
      <c r="O242" s="3"/>
      <c r="P242" s="3"/>
      <c r="Q242" s="3"/>
      <c r="T242" s="2"/>
      <c r="U242" s="2"/>
      <c r="V242" s="2"/>
      <c r="W242" s="2"/>
      <c r="X242" s="2"/>
      <c r="Y242" s="2"/>
      <c r="Z242" s="2"/>
      <c r="AA242" s="2"/>
    </row>
    <row r="243" spans="1:27" s="4" customFormat="1" ht="15.6" x14ac:dyDescent="0.25">
      <c r="A243" s="2"/>
      <c r="B243" s="2"/>
      <c r="C243" s="2"/>
      <c r="D243" s="2"/>
      <c r="E243" s="2"/>
      <c r="F243" s="2"/>
      <c r="G243" s="2"/>
      <c r="H243" s="2"/>
      <c r="I243" s="9"/>
      <c r="J243" s="2"/>
      <c r="K243" s="188"/>
      <c r="L243" s="187"/>
      <c r="M243" s="3"/>
      <c r="N243" s="30"/>
      <c r="O243" s="3"/>
      <c r="P243" s="3"/>
      <c r="Q243" s="3"/>
      <c r="T243" s="2"/>
      <c r="U243" s="2"/>
      <c r="V243" s="2"/>
      <c r="W243" s="2"/>
      <c r="X243" s="2"/>
      <c r="Y243" s="2"/>
      <c r="Z243" s="2"/>
      <c r="AA243" s="2"/>
    </row>
    <row r="244" spans="1:27" s="4" customFormat="1" x14ac:dyDescent="0.25">
      <c r="A244" s="2"/>
      <c r="B244" s="2"/>
      <c r="C244" s="2"/>
      <c r="D244" s="2"/>
      <c r="E244" s="2"/>
      <c r="F244" s="2"/>
      <c r="G244" s="2"/>
      <c r="H244" s="2"/>
      <c r="I244" s="9"/>
      <c r="J244" s="2"/>
      <c r="K244" s="7"/>
      <c r="L244" s="11"/>
      <c r="M244" s="3"/>
      <c r="N244" s="3"/>
      <c r="O244" s="3"/>
      <c r="P244" s="3"/>
      <c r="Q244" s="3"/>
      <c r="T244" s="2"/>
      <c r="U244" s="2"/>
      <c r="V244" s="2"/>
      <c r="W244" s="2"/>
      <c r="X244" s="2"/>
      <c r="Y244" s="2"/>
      <c r="Z244" s="2"/>
      <c r="AA244" s="2"/>
    </row>
    <row r="253" spans="1:27" x14ac:dyDescent="0.25">
      <c r="M253" s="3" t="s">
        <v>713</v>
      </c>
      <c r="N253" s="3" t="s">
        <v>8</v>
      </c>
      <c r="O253" s="3" t="s">
        <v>77</v>
      </c>
      <c r="P253" s="3" t="s">
        <v>986</v>
      </c>
      <c r="Q253" s="3" t="s">
        <v>756</v>
      </c>
      <c r="R253" s="4" t="s">
        <v>827</v>
      </c>
      <c r="S253" s="4" t="s">
        <v>774</v>
      </c>
      <c r="T253" s="2" t="s">
        <v>715</v>
      </c>
    </row>
    <row r="254" spans="1:27" x14ac:dyDescent="0.25">
      <c r="L254" s="191">
        <f>SUM(M254:U254)</f>
        <v>749.79999999981374</v>
      </c>
      <c r="M254" s="3">
        <f>[2]DD!L205</f>
        <v>0</v>
      </c>
      <c r="N254" s="3">
        <f>[2]ADD25!H220</f>
        <v>725</v>
      </c>
      <c r="O254" s="3">
        <f>'[2]PAD1 '!I113</f>
        <v>33</v>
      </c>
      <c r="P254" s="3">
        <f>'[2]BHP PPR'!H38</f>
        <v>0</v>
      </c>
      <c r="Q254" s="3">
        <f>'[2]SILV ADD'!H45</f>
        <v>-8.2000000001862645</v>
      </c>
      <c r="R254" s="192">
        <f>'[2]SILV DD'!E34</f>
        <v>0</v>
      </c>
      <c r="S254" s="4">
        <f>'[2]SILP PAD'!H82</f>
        <v>0</v>
      </c>
    </row>
    <row r="256" spans="1:27" x14ac:dyDescent="0.25">
      <c r="L256" s="11" t="e">
        <f>L254-K229</f>
        <v>#REF!</v>
      </c>
    </row>
  </sheetData>
  <mergeCells count="16">
    <mergeCell ref="A8:L8"/>
    <mergeCell ref="I1:K1"/>
    <mergeCell ref="I2:L2"/>
    <mergeCell ref="I3:K3"/>
    <mergeCell ref="I5:L5"/>
    <mergeCell ref="I6:L6"/>
    <mergeCell ref="K230:L230"/>
    <mergeCell ref="K231:L231"/>
    <mergeCell ref="K236:L236"/>
    <mergeCell ref="A9:L9"/>
    <mergeCell ref="A10:L10"/>
    <mergeCell ref="A12:G13"/>
    <mergeCell ref="H12:H13"/>
    <mergeCell ref="I12:J12"/>
    <mergeCell ref="K12:K13"/>
    <mergeCell ref="L12:L13"/>
  </mergeCells>
  <printOptions horizontalCentered="1"/>
  <pageMargins left="0.47244094488188981" right="0.19685039370078741" top="0.9055118110236221" bottom="0.78740157480314965" header="0.31496062992125984" footer="0.31496062992125984"/>
  <pageSetup paperSize="10000" scale="66" orientation="landscape" horizontalDpi="4294967293" r:id="rId1"/>
  <rowBreaks count="1" manualBreakCount="1">
    <brk id="13" max="16383" man="1"/>
  </rowBreaks>
  <colBreaks count="1" manualBreakCount="1">
    <brk id="12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DD08B-71CD-4CC7-9313-EC81A9D11F0A}">
  <dimension ref="A1:D274"/>
  <sheetViews>
    <sheetView workbookViewId="0">
      <selection sqref="A1:A1048576"/>
    </sheetView>
  </sheetViews>
  <sheetFormatPr defaultRowHeight="14.4" x14ac:dyDescent="0.3"/>
  <cols>
    <col min="1" max="1" width="35.88671875" customWidth="1"/>
    <col min="2" max="2" width="51.109375" customWidth="1"/>
    <col min="3" max="3" width="75" customWidth="1"/>
    <col min="4" max="4" width="29.6640625" customWidth="1"/>
  </cols>
  <sheetData>
    <row r="1" spans="1:4" x14ac:dyDescent="0.3">
      <c r="A1" t="s">
        <v>1137</v>
      </c>
      <c r="B1" t="s">
        <v>691</v>
      </c>
      <c r="C1" t="s">
        <v>987</v>
      </c>
      <c r="D1" t="s">
        <v>343</v>
      </c>
    </row>
    <row r="2" spans="1:4" x14ac:dyDescent="0.3">
      <c r="A2" t="s">
        <v>686</v>
      </c>
      <c r="B2" t="s">
        <v>692</v>
      </c>
      <c r="C2" t="s">
        <v>718</v>
      </c>
      <c r="D2" t="s">
        <v>720</v>
      </c>
    </row>
    <row r="3" spans="1:4" x14ac:dyDescent="0.3">
      <c r="A3" t="s">
        <v>686</v>
      </c>
      <c r="B3" t="s">
        <v>692</v>
      </c>
      <c r="C3" t="s">
        <v>718</v>
      </c>
      <c r="D3" t="s">
        <v>721</v>
      </c>
    </row>
    <row r="4" spans="1:4" x14ac:dyDescent="0.3">
      <c r="A4" t="s">
        <v>686</v>
      </c>
      <c r="B4" t="s">
        <v>692</v>
      </c>
      <c r="C4" t="s">
        <v>722</v>
      </c>
      <c r="D4" t="s">
        <v>988</v>
      </c>
    </row>
    <row r="5" spans="1:4" x14ac:dyDescent="0.3">
      <c r="A5" t="s">
        <v>686</v>
      </c>
      <c r="B5" t="s">
        <v>692</v>
      </c>
      <c r="C5" t="s">
        <v>722</v>
      </c>
      <c r="D5" t="s">
        <v>723</v>
      </c>
    </row>
    <row r="6" spans="1:4" x14ac:dyDescent="0.3">
      <c r="A6" t="s">
        <v>686</v>
      </c>
      <c r="B6" t="s">
        <v>692</v>
      </c>
      <c r="C6" t="s">
        <v>724</v>
      </c>
      <c r="D6" t="s">
        <v>725</v>
      </c>
    </row>
    <row r="7" spans="1:4" x14ac:dyDescent="0.3">
      <c r="A7" t="s">
        <v>686</v>
      </c>
      <c r="B7" t="s">
        <v>692</v>
      </c>
      <c r="C7" t="s">
        <v>724</v>
      </c>
      <c r="D7" t="s">
        <v>726</v>
      </c>
    </row>
    <row r="8" spans="1:4" x14ac:dyDescent="0.3">
      <c r="A8" t="s">
        <v>686</v>
      </c>
      <c r="B8" t="s">
        <v>692</v>
      </c>
      <c r="C8" t="s">
        <v>724</v>
      </c>
      <c r="D8" t="s">
        <v>727</v>
      </c>
    </row>
    <row r="9" spans="1:4" x14ac:dyDescent="0.3">
      <c r="A9" t="s">
        <v>686</v>
      </c>
      <c r="B9" t="s">
        <v>692</v>
      </c>
      <c r="C9" t="s">
        <v>724</v>
      </c>
      <c r="D9" t="s">
        <v>989</v>
      </c>
    </row>
    <row r="10" spans="1:4" x14ac:dyDescent="0.3">
      <c r="A10" t="s">
        <v>686</v>
      </c>
      <c r="B10" t="s">
        <v>692</v>
      </c>
      <c r="C10" t="s">
        <v>724</v>
      </c>
      <c r="D10" t="s">
        <v>990</v>
      </c>
    </row>
    <row r="11" spans="1:4" x14ac:dyDescent="0.3">
      <c r="A11" t="s">
        <v>686</v>
      </c>
      <c r="B11" t="s">
        <v>692</v>
      </c>
      <c r="C11" t="s">
        <v>728</v>
      </c>
      <c r="D11" t="s">
        <v>991</v>
      </c>
    </row>
    <row r="12" spans="1:4" x14ac:dyDescent="0.3">
      <c r="A12" t="s">
        <v>686</v>
      </c>
      <c r="B12" t="s">
        <v>692</v>
      </c>
      <c r="C12" t="s">
        <v>728</v>
      </c>
      <c r="D12" t="s">
        <v>992</v>
      </c>
    </row>
    <row r="13" spans="1:4" x14ac:dyDescent="0.3">
      <c r="A13" t="s">
        <v>686</v>
      </c>
      <c r="B13" t="s">
        <v>692</v>
      </c>
      <c r="C13" t="s">
        <v>728</v>
      </c>
      <c r="D13" t="s">
        <v>993</v>
      </c>
    </row>
    <row r="14" spans="1:4" x14ac:dyDescent="0.3">
      <c r="A14" t="s">
        <v>686</v>
      </c>
      <c r="B14" t="s">
        <v>692</v>
      </c>
      <c r="C14" t="s">
        <v>728</v>
      </c>
      <c r="D14" t="s">
        <v>994</v>
      </c>
    </row>
    <row r="15" spans="1:4" x14ac:dyDescent="0.3">
      <c r="A15" t="s">
        <v>686</v>
      </c>
      <c r="B15" t="s">
        <v>692</v>
      </c>
      <c r="C15" t="s">
        <v>728</v>
      </c>
      <c r="D15" t="s">
        <v>995</v>
      </c>
    </row>
    <row r="16" spans="1:4" x14ac:dyDescent="0.3">
      <c r="A16" t="s">
        <v>686</v>
      </c>
      <c r="B16" t="s">
        <v>692</v>
      </c>
      <c r="C16" t="s">
        <v>728</v>
      </c>
      <c r="D16" t="s">
        <v>996</v>
      </c>
    </row>
    <row r="17" spans="1:4" x14ac:dyDescent="0.3">
      <c r="A17" t="s">
        <v>686</v>
      </c>
      <c r="B17" t="s">
        <v>692</v>
      </c>
      <c r="C17" t="s">
        <v>728</v>
      </c>
      <c r="D17" t="s">
        <v>997</v>
      </c>
    </row>
    <row r="18" spans="1:4" x14ac:dyDescent="0.3">
      <c r="A18" t="s">
        <v>686</v>
      </c>
      <c r="B18" t="s">
        <v>692</v>
      </c>
      <c r="C18" t="s">
        <v>728</v>
      </c>
      <c r="D18" t="s">
        <v>998</v>
      </c>
    </row>
    <row r="19" spans="1:4" x14ac:dyDescent="0.3">
      <c r="A19" t="s">
        <v>686</v>
      </c>
      <c r="B19" t="s">
        <v>692</v>
      </c>
      <c r="C19" t="s">
        <v>728</v>
      </c>
      <c r="D19" t="s">
        <v>999</v>
      </c>
    </row>
    <row r="20" spans="1:4" x14ac:dyDescent="0.3">
      <c r="A20" t="s">
        <v>686</v>
      </c>
      <c r="B20" t="s">
        <v>692</v>
      </c>
      <c r="C20" t="s">
        <v>728</v>
      </c>
      <c r="D20" t="s">
        <v>1000</v>
      </c>
    </row>
    <row r="21" spans="1:4" x14ac:dyDescent="0.3">
      <c r="A21" t="s">
        <v>686</v>
      </c>
      <c r="B21" t="s">
        <v>692</v>
      </c>
      <c r="C21" t="s">
        <v>728</v>
      </c>
      <c r="D21" t="s">
        <v>1001</v>
      </c>
    </row>
    <row r="22" spans="1:4" x14ac:dyDescent="0.3">
      <c r="A22" t="s">
        <v>686</v>
      </c>
      <c r="B22" t="s">
        <v>692</v>
      </c>
      <c r="C22" t="s">
        <v>728</v>
      </c>
      <c r="D22" t="s">
        <v>1002</v>
      </c>
    </row>
    <row r="23" spans="1:4" x14ac:dyDescent="0.3">
      <c r="A23" t="s">
        <v>686</v>
      </c>
      <c r="B23" t="s">
        <v>692</v>
      </c>
      <c r="C23" t="s">
        <v>728</v>
      </c>
      <c r="D23" t="s">
        <v>1003</v>
      </c>
    </row>
    <row r="24" spans="1:4" x14ac:dyDescent="0.3">
      <c r="A24" t="s">
        <v>686</v>
      </c>
      <c r="B24" t="s">
        <v>692</v>
      </c>
      <c r="C24" t="s">
        <v>728</v>
      </c>
      <c r="D24" t="s">
        <v>1004</v>
      </c>
    </row>
    <row r="25" spans="1:4" x14ac:dyDescent="0.3">
      <c r="A25" t="s">
        <v>686</v>
      </c>
      <c r="B25" t="s">
        <v>692</v>
      </c>
      <c r="C25" t="s">
        <v>728</v>
      </c>
      <c r="D25" t="s">
        <v>1005</v>
      </c>
    </row>
    <row r="26" spans="1:4" x14ac:dyDescent="0.3">
      <c r="A26" t="s">
        <v>686</v>
      </c>
      <c r="B26" t="s">
        <v>692</v>
      </c>
      <c r="C26" t="s">
        <v>728</v>
      </c>
      <c r="D26" t="s">
        <v>1006</v>
      </c>
    </row>
    <row r="27" spans="1:4" x14ac:dyDescent="0.3">
      <c r="A27" t="s">
        <v>686</v>
      </c>
      <c r="B27" t="s">
        <v>692</v>
      </c>
      <c r="C27" t="s">
        <v>728</v>
      </c>
      <c r="D27" t="s">
        <v>1007</v>
      </c>
    </row>
    <row r="28" spans="1:4" x14ac:dyDescent="0.3">
      <c r="A28" t="s">
        <v>686</v>
      </c>
      <c r="B28" t="s">
        <v>692</v>
      </c>
      <c r="C28" t="s">
        <v>728</v>
      </c>
      <c r="D28" t="s">
        <v>1008</v>
      </c>
    </row>
    <row r="29" spans="1:4" x14ac:dyDescent="0.3">
      <c r="A29" t="s">
        <v>686</v>
      </c>
      <c r="B29" t="s">
        <v>692</v>
      </c>
      <c r="C29" t="s">
        <v>735</v>
      </c>
      <c r="D29" t="s">
        <v>1009</v>
      </c>
    </row>
    <row r="30" spans="1:4" x14ac:dyDescent="0.3">
      <c r="A30" t="s">
        <v>686</v>
      </c>
      <c r="B30" t="s">
        <v>692</v>
      </c>
      <c r="C30" t="s">
        <v>736</v>
      </c>
      <c r="D30" t="s">
        <v>1010</v>
      </c>
    </row>
    <row r="31" spans="1:4" x14ac:dyDescent="0.3">
      <c r="A31" t="s">
        <v>686</v>
      </c>
      <c r="B31" t="s">
        <v>692</v>
      </c>
      <c r="C31" t="s">
        <v>736</v>
      </c>
      <c r="D31" t="s">
        <v>1011</v>
      </c>
    </row>
    <row r="32" spans="1:4" x14ac:dyDescent="0.3">
      <c r="A32" t="s">
        <v>686</v>
      </c>
      <c r="B32" t="s">
        <v>692</v>
      </c>
      <c r="C32" t="s">
        <v>736</v>
      </c>
      <c r="D32" t="s">
        <v>737</v>
      </c>
    </row>
    <row r="33" spans="1:4" x14ac:dyDescent="0.3">
      <c r="A33" t="s">
        <v>686</v>
      </c>
      <c r="B33" t="s">
        <v>692</v>
      </c>
      <c r="C33" t="s">
        <v>736</v>
      </c>
      <c r="D33" t="s">
        <v>1012</v>
      </c>
    </row>
    <row r="34" spans="1:4" x14ac:dyDescent="0.3">
      <c r="A34" t="s">
        <v>686</v>
      </c>
      <c r="B34" t="s">
        <v>692</v>
      </c>
      <c r="C34" t="s">
        <v>736</v>
      </c>
      <c r="D34" t="s">
        <v>1013</v>
      </c>
    </row>
    <row r="35" spans="1:4" x14ac:dyDescent="0.3">
      <c r="A35" t="s">
        <v>686</v>
      </c>
      <c r="B35" t="s">
        <v>692</v>
      </c>
      <c r="C35" t="s">
        <v>736</v>
      </c>
      <c r="D35" t="s">
        <v>1014</v>
      </c>
    </row>
    <row r="36" spans="1:4" x14ac:dyDescent="0.3">
      <c r="A36" t="s">
        <v>686</v>
      </c>
      <c r="B36" t="s">
        <v>692</v>
      </c>
      <c r="C36" t="s">
        <v>736</v>
      </c>
      <c r="D36" t="s">
        <v>1015</v>
      </c>
    </row>
    <row r="37" spans="1:4" x14ac:dyDescent="0.3">
      <c r="A37" t="s">
        <v>686</v>
      </c>
      <c r="B37" t="s">
        <v>692</v>
      </c>
      <c r="C37" t="s">
        <v>738</v>
      </c>
      <c r="D37" t="s">
        <v>1016</v>
      </c>
    </row>
    <row r="38" spans="1:4" x14ac:dyDescent="0.3">
      <c r="A38" t="s">
        <v>686</v>
      </c>
      <c r="B38" t="s">
        <v>692</v>
      </c>
      <c r="C38" t="s">
        <v>738</v>
      </c>
      <c r="D38" t="s">
        <v>1017</v>
      </c>
    </row>
    <row r="39" spans="1:4" x14ac:dyDescent="0.3">
      <c r="A39" t="s">
        <v>686</v>
      </c>
      <c r="B39" t="s">
        <v>692</v>
      </c>
      <c r="C39" t="s">
        <v>738</v>
      </c>
      <c r="D39" t="s">
        <v>1018</v>
      </c>
    </row>
    <row r="40" spans="1:4" x14ac:dyDescent="0.3">
      <c r="A40" t="s">
        <v>686</v>
      </c>
      <c r="B40" t="s">
        <v>692</v>
      </c>
      <c r="C40" t="s">
        <v>1019</v>
      </c>
      <c r="D40" t="s">
        <v>1020</v>
      </c>
    </row>
    <row r="41" spans="1:4" x14ac:dyDescent="0.3">
      <c r="A41" t="s">
        <v>686</v>
      </c>
      <c r="B41" t="s">
        <v>692</v>
      </c>
      <c r="C41" t="s">
        <v>1019</v>
      </c>
      <c r="D41" t="s">
        <v>1021</v>
      </c>
    </row>
    <row r="42" spans="1:4" x14ac:dyDescent="0.3">
      <c r="A42" t="s">
        <v>686</v>
      </c>
      <c r="B42" t="s">
        <v>692</v>
      </c>
      <c r="C42" t="s">
        <v>1019</v>
      </c>
      <c r="D42" t="s">
        <v>1022</v>
      </c>
    </row>
    <row r="43" spans="1:4" x14ac:dyDescent="0.3">
      <c r="A43" t="s">
        <v>686</v>
      </c>
      <c r="B43" t="s">
        <v>692</v>
      </c>
      <c r="C43" t="s">
        <v>1019</v>
      </c>
      <c r="D43" t="s">
        <v>1023</v>
      </c>
    </row>
    <row r="44" spans="1:4" x14ac:dyDescent="0.3">
      <c r="A44" t="s">
        <v>686</v>
      </c>
      <c r="B44" t="s">
        <v>692</v>
      </c>
      <c r="C44" t="s">
        <v>1019</v>
      </c>
      <c r="D44" t="s">
        <v>1024</v>
      </c>
    </row>
    <row r="45" spans="1:4" x14ac:dyDescent="0.3">
      <c r="A45" t="s">
        <v>686</v>
      </c>
      <c r="B45" t="s">
        <v>692</v>
      </c>
      <c r="C45" t="s">
        <v>1019</v>
      </c>
      <c r="D45" t="s">
        <v>1025</v>
      </c>
    </row>
    <row r="46" spans="1:4" x14ac:dyDescent="0.3">
      <c r="A46" t="s">
        <v>686</v>
      </c>
      <c r="B46" t="s">
        <v>692</v>
      </c>
      <c r="C46" t="s">
        <v>739</v>
      </c>
      <c r="D46" t="s">
        <v>741</v>
      </c>
    </row>
    <row r="47" spans="1:4" x14ac:dyDescent="0.3">
      <c r="A47" t="s">
        <v>686</v>
      </c>
      <c r="B47" t="s">
        <v>692</v>
      </c>
      <c r="C47" t="s">
        <v>742</v>
      </c>
      <c r="D47" t="s">
        <v>744</v>
      </c>
    </row>
    <row r="48" spans="1:4" x14ac:dyDescent="0.3">
      <c r="A48" t="s">
        <v>686</v>
      </c>
      <c r="B48" t="s">
        <v>692</v>
      </c>
      <c r="C48" t="s">
        <v>742</v>
      </c>
      <c r="D48" t="s">
        <v>1026</v>
      </c>
    </row>
    <row r="49" spans="1:4" x14ac:dyDescent="0.3">
      <c r="A49" t="s">
        <v>686</v>
      </c>
      <c r="B49" t="s">
        <v>692</v>
      </c>
      <c r="C49" t="s">
        <v>742</v>
      </c>
      <c r="D49" t="s">
        <v>1027</v>
      </c>
    </row>
    <row r="50" spans="1:4" x14ac:dyDescent="0.3">
      <c r="A50" t="s">
        <v>686</v>
      </c>
      <c r="B50" t="s">
        <v>692</v>
      </c>
      <c r="C50" t="s">
        <v>745</v>
      </c>
      <c r="D50" t="s">
        <v>1028</v>
      </c>
    </row>
    <row r="51" spans="1:4" x14ac:dyDescent="0.3">
      <c r="A51" t="s">
        <v>686</v>
      </c>
      <c r="B51" t="s">
        <v>692</v>
      </c>
      <c r="C51" t="s">
        <v>746</v>
      </c>
    </row>
    <row r="52" spans="1:4" x14ac:dyDescent="0.3">
      <c r="A52" t="s">
        <v>686</v>
      </c>
      <c r="B52" t="s">
        <v>692</v>
      </c>
      <c r="C52" t="s">
        <v>747</v>
      </c>
      <c r="D52" t="s">
        <v>1029</v>
      </c>
    </row>
    <row r="53" spans="1:4" x14ac:dyDescent="0.3">
      <c r="A53" t="s">
        <v>686</v>
      </c>
      <c r="B53" t="s">
        <v>692</v>
      </c>
      <c r="C53" t="s">
        <v>748</v>
      </c>
    </row>
    <row r="54" spans="1:4" x14ac:dyDescent="0.3">
      <c r="A54" t="s">
        <v>686</v>
      </c>
      <c r="B54" t="s">
        <v>692</v>
      </c>
      <c r="C54" t="s">
        <v>750</v>
      </c>
      <c r="D54" t="s">
        <v>1030</v>
      </c>
    </row>
    <row r="55" spans="1:4" x14ac:dyDescent="0.3">
      <c r="A55" t="s">
        <v>686</v>
      </c>
      <c r="B55" t="s">
        <v>751</v>
      </c>
      <c r="C55" t="s">
        <v>753</v>
      </c>
    </row>
    <row r="56" spans="1:4" x14ac:dyDescent="0.3">
      <c r="A56" t="s">
        <v>686</v>
      </c>
      <c r="B56" t="s">
        <v>751</v>
      </c>
      <c r="C56" t="s">
        <v>757</v>
      </c>
      <c r="D56" t="s">
        <v>1031</v>
      </c>
    </row>
    <row r="57" spans="1:4" x14ac:dyDescent="0.3">
      <c r="A57" t="s">
        <v>686</v>
      </c>
      <c r="B57" t="s">
        <v>751</v>
      </c>
      <c r="C57" t="s">
        <v>757</v>
      </c>
      <c r="D57" t="s">
        <v>1032</v>
      </c>
    </row>
    <row r="58" spans="1:4" x14ac:dyDescent="0.3">
      <c r="A58" t="s">
        <v>686</v>
      </c>
      <c r="B58" t="s">
        <v>751</v>
      </c>
      <c r="C58" t="s">
        <v>757</v>
      </c>
      <c r="D58" t="s">
        <v>1033</v>
      </c>
    </row>
    <row r="59" spans="1:4" x14ac:dyDescent="0.3">
      <c r="A59" t="s">
        <v>686</v>
      </c>
      <c r="B59" t="s">
        <v>751</v>
      </c>
      <c r="C59" t="s">
        <v>760</v>
      </c>
    </row>
    <row r="60" spans="1:4" x14ac:dyDescent="0.3">
      <c r="A60" t="s">
        <v>686</v>
      </c>
      <c r="B60" t="s">
        <v>762</v>
      </c>
      <c r="C60" t="s">
        <v>763</v>
      </c>
    </row>
    <row r="61" spans="1:4" x14ac:dyDescent="0.3">
      <c r="A61" t="s">
        <v>686</v>
      </c>
      <c r="B61" t="s">
        <v>762</v>
      </c>
      <c r="C61" t="s">
        <v>764</v>
      </c>
      <c r="D61" t="s">
        <v>1034</v>
      </c>
    </row>
    <row r="62" spans="1:4" x14ac:dyDescent="0.3">
      <c r="A62" t="s">
        <v>686</v>
      </c>
      <c r="B62" t="s">
        <v>762</v>
      </c>
      <c r="C62" t="s">
        <v>766</v>
      </c>
    </row>
    <row r="63" spans="1:4" x14ac:dyDescent="0.3">
      <c r="A63" t="s">
        <v>686</v>
      </c>
      <c r="B63" t="s">
        <v>762</v>
      </c>
      <c r="C63" t="s">
        <v>767</v>
      </c>
    </row>
    <row r="64" spans="1:4" x14ac:dyDescent="0.3">
      <c r="A64" t="s">
        <v>686</v>
      </c>
      <c r="B64" t="s">
        <v>762</v>
      </c>
      <c r="C64" t="s">
        <v>768</v>
      </c>
    </row>
    <row r="65" spans="1:4" x14ac:dyDescent="0.3">
      <c r="A65" t="s">
        <v>686</v>
      </c>
      <c r="B65" t="s">
        <v>769</v>
      </c>
      <c r="C65" t="s">
        <v>771</v>
      </c>
    </row>
    <row r="66" spans="1:4" x14ac:dyDescent="0.3">
      <c r="A66" t="s">
        <v>686</v>
      </c>
      <c r="B66" t="s">
        <v>769</v>
      </c>
      <c r="C66" t="s">
        <v>772</v>
      </c>
      <c r="D66" t="s">
        <v>1035</v>
      </c>
    </row>
    <row r="67" spans="1:4" x14ac:dyDescent="0.3">
      <c r="A67" t="s">
        <v>686</v>
      </c>
      <c r="B67" t="s">
        <v>769</v>
      </c>
      <c r="C67" t="s">
        <v>772</v>
      </c>
      <c r="D67" t="s">
        <v>1036</v>
      </c>
    </row>
    <row r="68" spans="1:4" x14ac:dyDescent="0.3">
      <c r="A68" t="s">
        <v>686</v>
      </c>
      <c r="B68" t="s">
        <v>769</v>
      </c>
      <c r="C68" t="s">
        <v>772</v>
      </c>
      <c r="D68" t="s">
        <v>1037</v>
      </c>
    </row>
    <row r="69" spans="1:4" x14ac:dyDescent="0.3">
      <c r="A69" t="s">
        <v>686</v>
      </c>
      <c r="B69" t="s">
        <v>769</v>
      </c>
      <c r="C69" t="s">
        <v>772</v>
      </c>
      <c r="D69" t="s">
        <v>1038</v>
      </c>
    </row>
    <row r="70" spans="1:4" x14ac:dyDescent="0.3">
      <c r="A70" t="s">
        <v>686</v>
      </c>
      <c r="B70" t="s">
        <v>769</v>
      </c>
      <c r="C70" t="s">
        <v>772</v>
      </c>
      <c r="D70" t="s">
        <v>1039</v>
      </c>
    </row>
    <row r="71" spans="1:4" x14ac:dyDescent="0.3">
      <c r="A71" t="s">
        <v>686</v>
      </c>
      <c r="B71" t="s">
        <v>769</v>
      </c>
      <c r="C71" t="s">
        <v>772</v>
      </c>
      <c r="D71" t="s">
        <v>1040</v>
      </c>
    </row>
    <row r="72" spans="1:4" x14ac:dyDescent="0.3">
      <c r="A72" t="s">
        <v>686</v>
      </c>
      <c r="B72" t="s">
        <v>769</v>
      </c>
      <c r="C72" t="s">
        <v>772</v>
      </c>
      <c r="D72" t="s">
        <v>1041</v>
      </c>
    </row>
    <row r="73" spans="1:4" x14ac:dyDescent="0.3">
      <c r="A73" t="s">
        <v>686</v>
      </c>
      <c r="B73" t="s">
        <v>769</v>
      </c>
      <c r="C73" t="s">
        <v>772</v>
      </c>
      <c r="D73" t="s">
        <v>1042</v>
      </c>
    </row>
    <row r="74" spans="1:4" x14ac:dyDescent="0.3">
      <c r="A74" t="s">
        <v>686</v>
      </c>
      <c r="B74" t="s">
        <v>769</v>
      </c>
      <c r="C74" t="s">
        <v>772</v>
      </c>
      <c r="D74" t="s">
        <v>1043</v>
      </c>
    </row>
    <row r="75" spans="1:4" x14ac:dyDescent="0.3">
      <c r="A75" t="s">
        <v>686</v>
      </c>
      <c r="B75" t="s">
        <v>769</v>
      </c>
      <c r="C75" t="s">
        <v>772</v>
      </c>
      <c r="D75" t="s">
        <v>1044</v>
      </c>
    </row>
    <row r="76" spans="1:4" x14ac:dyDescent="0.3">
      <c r="A76" t="s">
        <v>686</v>
      </c>
      <c r="B76" t="s">
        <v>769</v>
      </c>
      <c r="C76" t="s">
        <v>772</v>
      </c>
      <c r="D76" t="s">
        <v>1045</v>
      </c>
    </row>
    <row r="77" spans="1:4" x14ac:dyDescent="0.3">
      <c r="A77" t="s">
        <v>686</v>
      </c>
      <c r="B77" t="s">
        <v>769</v>
      </c>
      <c r="C77" t="s">
        <v>772</v>
      </c>
      <c r="D77" t="s">
        <v>1046</v>
      </c>
    </row>
    <row r="78" spans="1:4" x14ac:dyDescent="0.3">
      <c r="A78" t="s">
        <v>686</v>
      </c>
      <c r="B78" t="s">
        <v>769</v>
      </c>
      <c r="C78" t="s">
        <v>772</v>
      </c>
      <c r="D78" t="s">
        <v>1047</v>
      </c>
    </row>
    <row r="79" spans="1:4" x14ac:dyDescent="0.3">
      <c r="A79" t="s">
        <v>686</v>
      </c>
      <c r="B79" t="s">
        <v>769</v>
      </c>
      <c r="C79" t="s">
        <v>772</v>
      </c>
      <c r="D79" t="s">
        <v>1048</v>
      </c>
    </row>
    <row r="80" spans="1:4" x14ac:dyDescent="0.3">
      <c r="A80" t="s">
        <v>686</v>
      </c>
      <c r="B80" t="s">
        <v>769</v>
      </c>
      <c r="C80" t="s">
        <v>772</v>
      </c>
      <c r="D80" t="s">
        <v>1049</v>
      </c>
    </row>
    <row r="81" spans="1:4" x14ac:dyDescent="0.3">
      <c r="A81" t="s">
        <v>686</v>
      </c>
      <c r="B81" t="s">
        <v>769</v>
      </c>
      <c r="C81" t="s">
        <v>772</v>
      </c>
      <c r="D81" t="s">
        <v>1050</v>
      </c>
    </row>
    <row r="82" spans="1:4" x14ac:dyDescent="0.3">
      <c r="A82" t="s">
        <v>686</v>
      </c>
      <c r="B82" t="s">
        <v>769</v>
      </c>
      <c r="C82" t="s">
        <v>772</v>
      </c>
      <c r="D82" t="s">
        <v>1051</v>
      </c>
    </row>
    <row r="83" spans="1:4" x14ac:dyDescent="0.3">
      <c r="A83" t="s">
        <v>686</v>
      </c>
      <c r="B83" t="s">
        <v>769</v>
      </c>
      <c r="C83" t="s">
        <v>772</v>
      </c>
      <c r="D83" t="s">
        <v>1052</v>
      </c>
    </row>
    <row r="84" spans="1:4" x14ac:dyDescent="0.3">
      <c r="A84" t="s">
        <v>686</v>
      </c>
      <c r="B84" t="s">
        <v>769</v>
      </c>
      <c r="C84" t="s">
        <v>772</v>
      </c>
      <c r="D84" t="s">
        <v>1053</v>
      </c>
    </row>
    <row r="85" spans="1:4" x14ac:dyDescent="0.3">
      <c r="A85" t="s">
        <v>686</v>
      </c>
      <c r="B85" t="s">
        <v>769</v>
      </c>
      <c r="C85" t="s">
        <v>772</v>
      </c>
      <c r="D85" t="s">
        <v>1054</v>
      </c>
    </row>
    <row r="86" spans="1:4" x14ac:dyDescent="0.3">
      <c r="A86" t="s">
        <v>686</v>
      </c>
      <c r="B86" t="s">
        <v>769</v>
      </c>
      <c r="C86" t="s">
        <v>772</v>
      </c>
      <c r="D86" t="s">
        <v>1055</v>
      </c>
    </row>
    <row r="87" spans="1:4" x14ac:dyDescent="0.3">
      <c r="A87" t="s">
        <v>686</v>
      </c>
      <c r="B87" t="s">
        <v>769</v>
      </c>
      <c r="C87" t="s">
        <v>775</v>
      </c>
      <c r="D87" t="s">
        <v>1056</v>
      </c>
    </row>
    <row r="88" spans="1:4" x14ac:dyDescent="0.3">
      <c r="A88" t="s">
        <v>686</v>
      </c>
      <c r="B88" t="s">
        <v>769</v>
      </c>
      <c r="C88" t="s">
        <v>775</v>
      </c>
      <c r="D88" t="s">
        <v>1057</v>
      </c>
    </row>
    <row r="89" spans="1:4" x14ac:dyDescent="0.3">
      <c r="A89" t="s">
        <v>686</v>
      </c>
      <c r="B89" t="s">
        <v>769</v>
      </c>
      <c r="C89" t="s">
        <v>776</v>
      </c>
      <c r="D89" t="s">
        <v>1058</v>
      </c>
    </row>
    <row r="90" spans="1:4" x14ac:dyDescent="0.3">
      <c r="A90" t="s">
        <v>686</v>
      </c>
      <c r="B90" t="s">
        <v>769</v>
      </c>
      <c r="C90" t="s">
        <v>777</v>
      </c>
    </row>
    <row r="91" spans="1:4" x14ac:dyDescent="0.3">
      <c r="A91" t="s">
        <v>686</v>
      </c>
      <c r="B91" t="s">
        <v>769</v>
      </c>
      <c r="C91" t="s">
        <v>778</v>
      </c>
    </row>
    <row r="92" spans="1:4" x14ac:dyDescent="0.3">
      <c r="A92" t="s">
        <v>686</v>
      </c>
      <c r="B92" t="s">
        <v>769</v>
      </c>
      <c r="C92" t="s">
        <v>779</v>
      </c>
    </row>
    <row r="93" spans="1:4" x14ac:dyDescent="0.3">
      <c r="A93" t="s">
        <v>686</v>
      </c>
      <c r="B93" t="s">
        <v>769</v>
      </c>
      <c r="C93" t="s">
        <v>780</v>
      </c>
    </row>
    <row r="94" spans="1:4" x14ac:dyDescent="0.3">
      <c r="A94" t="s">
        <v>686</v>
      </c>
      <c r="B94" t="s">
        <v>769</v>
      </c>
      <c r="C94" t="s">
        <v>781</v>
      </c>
    </row>
    <row r="95" spans="1:4" x14ac:dyDescent="0.3">
      <c r="A95" t="s">
        <v>686</v>
      </c>
      <c r="B95" t="s">
        <v>769</v>
      </c>
      <c r="C95" t="s">
        <v>782</v>
      </c>
    </row>
    <row r="96" spans="1:4" x14ac:dyDescent="0.3">
      <c r="A96" t="s">
        <v>686</v>
      </c>
      <c r="B96" t="s">
        <v>769</v>
      </c>
      <c r="C96" t="s">
        <v>783</v>
      </c>
    </row>
    <row r="97" spans="1:4" x14ac:dyDescent="0.3">
      <c r="A97" t="s">
        <v>686</v>
      </c>
      <c r="B97" t="s">
        <v>769</v>
      </c>
      <c r="C97" t="s">
        <v>785</v>
      </c>
    </row>
    <row r="98" spans="1:4" x14ac:dyDescent="0.3">
      <c r="A98" t="s">
        <v>686</v>
      </c>
      <c r="B98" t="s">
        <v>769</v>
      </c>
      <c r="C98" t="s">
        <v>786</v>
      </c>
      <c r="D98" t="s">
        <v>1059</v>
      </c>
    </row>
    <row r="99" spans="1:4" x14ac:dyDescent="0.3">
      <c r="A99" t="s">
        <v>686</v>
      </c>
      <c r="B99" t="s">
        <v>769</v>
      </c>
      <c r="C99" t="s">
        <v>786</v>
      </c>
      <c r="D99" t="s">
        <v>1060</v>
      </c>
    </row>
    <row r="100" spans="1:4" x14ac:dyDescent="0.3">
      <c r="A100" t="s">
        <v>686</v>
      </c>
      <c r="B100" t="s">
        <v>769</v>
      </c>
      <c r="C100" t="s">
        <v>786</v>
      </c>
      <c r="D100" t="s">
        <v>1061</v>
      </c>
    </row>
    <row r="101" spans="1:4" x14ac:dyDescent="0.3">
      <c r="A101" t="s">
        <v>686</v>
      </c>
      <c r="B101" t="s">
        <v>769</v>
      </c>
      <c r="C101" t="s">
        <v>786</v>
      </c>
      <c r="D101" t="s">
        <v>1062</v>
      </c>
    </row>
    <row r="102" spans="1:4" x14ac:dyDescent="0.3">
      <c r="A102" t="s">
        <v>686</v>
      </c>
      <c r="B102" t="s">
        <v>787</v>
      </c>
      <c r="C102" t="s">
        <v>788</v>
      </c>
      <c r="D102" t="s">
        <v>788</v>
      </c>
    </row>
    <row r="103" spans="1:4" x14ac:dyDescent="0.3">
      <c r="A103" t="s">
        <v>686</v>
      </c>
      <c r="B103" t="s">
        <v>787</v>
      </c>
      <c r="C103" t="s">
        <v>789</v>
      </c>
    </row>
    <row r="104" spans="1:4" x14ac:dyDescent="0.3">
      <c r="A104" t="s">
        <v>686</v>
      </c>
      <c r="B104" t="s">
        <v>787</v>
      </c>
      <c r="C104" t="s">
        <v>790</v>
      </c>
    </row>
    <row r="105" spans="1:4" x14ac:dyDescent="0.3">
      <c r="A105" t="s">
        <v>686</v>
      </c>
      <c r="B105" t="s">
        <v>787</v>
      </c>
      <c r="C105" t="s">
        <v>791</v>
      </c>
    </row>
    <row r="106" spans="1:4" x14ac:dyDescent="0.3">
      <c r="A106" t="s">
        <v>686</v>
      </c>
      <c r="B106" t="s">
        <v>787</v>
      </c>
      <c r="C106" t="s">
        <v>792</v>
      </c>
    </row>
    <row r="107" spans="1:4" x14ac:dyDescent="0.3">
      <c r="A107" t="s">
        <v>686</v>
      </c>
      <c r="B107" t="s">
        <v>787</v>
      </c>
      <c r="C107" t="s">
        <v>793</v>
      </c>
    </row>
    <row r="108" spans="1:4" x14ac:dyDescent="0.3">
      <c r="A108" t="s">
        <v>686</v>
      </c>
      <c r="B108" t="s">
        <v>787</v>
      </c>
      <c r="C108" t="s">
        <v>795</v>
      </c>
    </row>
    <row r="109" spans="1:4" x14ac:dyDescent="0.3">
      <c r="A109" t="s">
        <v>687</v>
      </c>
      <c r="B109" t="s">
        <v>798</v>
      </c>
      <c r="C109" t="s">
        <v>800</v>
      </c>
      <c r="D109" t="s">
        <v>1066</v>
      </c>
    </row>
    <row r="110" spans="1:4" x14ac:dyDescent="0.3">
      <c r="A110" t="s">
        <v>687</v>
      </c>
      <c r="B110" t="s">
        <v>798</v>
      </c>
      <c r="C110" t="s">
        <v>800</v>
      </c>
      <c r="D110" t="s">
        <v>1063</v>
      </c>
    </row>
    <row r="111" spans="1:4" x14ac:dyDescent="0.3">
      <c r="A111" t="s">
        <v>687</v>
      </c>
      <c r="B111" t="s">
        <v>798</v>
      </c>
      <c r="C111" t="s">
        <v>800</v>
      </c>
      <c r="D111" t="s">
        <v>1065</v>
      </c>
    </row>
    <row r="112" spans="1:4" x14ac:dyDescent="0.3">
      <c r="A112" t="s">
        <v>687</v>
      </c>
      <c r="B112" t="s">
        <v>798</v>
      </c>
      <c r="C112" t="s">
        <v>800</v>
      </c>
      <c r="D112" t="s">
        <v>1064</v>
      </c>
    </row>
    <row r="113" spans="1:4" x14ac:dyDescent="0.3">
      <c r="A113" t="s">
        <v>687</v>
      </c>
      <c r="B113" t="s">
        <v>798</v>
      </c>
      <c r="C113" t="s">
        <v>800</v>
      </c>
      <c r="D113" t="s">
        <v>1066</v>
      </c>
    </row>
    <row r="114" spans="1:4" x14ac:dyDescent="0.3">
      <c r="A114" t="s">
        <v>687</v>
      </c>
      <c r="B114" t="s">
        <v>798</v>
      </c>
      <c r="C114" t="s">
        <v>800</v>
      </c>
      <c r="D114" t="s">
        <v>1067</v>
      </c>
    </row>
    <row r="115" spans="1:4" x14ac:dyDescent="0.3">
      <c r="A115" t="s">
        <v>687</v>
      </c>
      <c r="B115" t="s">
        <v>798</v>
      </c>
      <c r="C115" t="s">
        <v>800</v>
      </c>
      <c r="D115" t="s">
        <v>1068</v>
      </c>
    </row>
    <row r="116" spans="1:4" x14ac:dyDescent="0.3">
      <c r="A116" t="s">
        <v>687</v>
      </c>
      <c r="B116" t="s">
        <v>798</v>
      </c>
      <c r="C116" t="s">
        <v>802</v>
      </c>
    </row>
    <row r="117" spans="1:4" x14ac:dyDescent="0.3">
      <c r="A117" t="s">
        <v>687</v>
      </c>
      <c r="B117" t="s">
        <v>798</v>
      </c>
      <c r="C117" t="s">
        <v>803</v>
      </c>
    </row>
    <row r="118" spans="1:4" x14ac:dyDescent="0.3">
      <c r="A118" t="s">
        <v>687</v>
      </c>
      <c r="B118" t="s">
        <v>798</v>
      </c>
      <c r="C118" t="s">
        <v>804</v>
      </c>
    </row>
    <row r="119" spans="1:4" x14ac:dyDescent="0.3">
      <c r="A119" t="s">
        <v>687</v>
      </c>
      <c r="B119" t="s">
        <v>798</v>
      </c>
      <c r="C119" t="s">
        <v>805</v>
      </c>
    </row>
    <row r="120" spans="1:4" x14ac:dyDescent="0.3">
      <c r="A120" t="s">
        <v>687</v>
      </c>
      <c r="B120" t="s">
        <v>798</v>
      </c>
      <c r="C120" t="s">
        <v>806</v>
      </c>
    </row>
    <row r="121" spans="1:4" x14ac:dyDescent="0.3">
      <c r="A121" t="s">
        <v>687</v>
      </c>
      <c r="B121" t="s">
        <v>798</v>
      </c>
      <c r="C121" t="s">
        <v>807</v>
      </c>
    </row>
    <row r="122" spans="1:4" x14ac:dyDescent="0.3">
      <c r="A122" t="s">
        <v>687</v>
      </c>
      <c r="B122" t="s">
        <v>798</v>
      </c>
      <c r="C122" t="s">
        <v>808</v>
      </c>
    </row>
    <row r="123" spans="1:4" x14ac:dyDescent="0.3">
      <c r="A123" t="s">
        <v>687</v>
      </c>
      <c r="B123" t="s">
        <v>798</v>
      </c>
      <c r="C123" t="s">
        <v>809</v>
      </c>
    </row>
    <row r="124" spans="1:4" x14ac:dyDescent="0.3">
      <c r="A124" t="s">
        <v>687</v>
      </c>
      <c r="B124" t="s">
        <v>798</v>
      </c>
      <c r="C124" t="s">
        <v>810</v>
      </c>
    </row>
    <row r="125" spans="1:4" x14ac:dyDescent="0.3">
      <c r="A125" t="s">
        <v>687</v>
      </c>
      <c r="B125" t="s">
        <v>811</v>
      </c>
      <c r="C125" t="s">
        <v>813</v>
      </c>
    </row>
    <row r="126" spans="1:4" x14ac:dyDescent="0.3">
      <c r="A126" t="s">
        <v>687</v>
      </c>
      <c r="B126" t="s">
        <v>811</v>
      </c>
      <c r="C126" t="s">
        <v>814</v>
      </c>
      <c r="D126" t="s">
        <v>1069</v>
      </c>
    </row>
    <row r="127" spans="1:4" x14ac:dyDescent="0.3">
      <c r="A127" t="s">
        <v>687</v>
      </c>
      <c r="B127" t="s">
        <v>811</v>
      </c>
      <c r="C127" t="s">
        <v>814</v>
      </c>
      <c r="D127" t="s">
        <v>1070</v>
      </c>
    </row>
    <row r="128" spans="1:4" x14ac:dyDescent="0.3">
      <c r="A128" t="s">
        <v>687</v>
      </c>
      <c r="B128" t="s">
        <v>811</v>
      </c>
      <c r="C128" t="s">
        <v>814</v>
      </c>
      <c r="D128" t="s">
        <v>1071</v>
      </c>
    </row>
    <row r="129" spans="1:4" x14ac:dyDescent="0.3">
      <c r="A129" t="s">
        <v>687</v>
      </c>
      <c r="B129" t="s">
        <v>811</v>
      </c>
      <c r="C129" t="s">
        <v>814</v>
      </c>
      <c r="D129" t="s">
        <v>1072</v>
      </c>
    </row>
    <row r="130" spans="1:4" x14ac:dyDescent="0.3">
      <c r="A130" t="s">
        <v>687</v>
      </c>
      <c r="B130" t="s">
        <v>811</v>
      </c>
      <c r="C130" t="s">
        <v>814</v>
      </c>
      <c r="D130" t="s">
        <v>1073</v>
      </c>
    </row>
    <row r="131" spans="1:4" x14ac:dyDescent="0.3">
      <c r="A131" t="s">
        <v>687</v>
      </c>
      <c r="B131" t="s">
        <v>811</v>
      </c>
      <c r="C131" t="s">
        <v>814</v>
      </c>
      <c r="D131" t="s">
        <v>1074</v>
      </c>
    </row>
    <row r="132" spans="1:4" x14ac:dyDescent="0.3">
      <c r="A132" t="s">
        <v>687</v>
      </c>
      <c r="B132" t="s">
        <v>811</v>
      </c>
      <c r="C132" t="s">
        <v>814</v>
      </c>
      <c r="D132" t="s">
        <v>1075</v>
      </c>
    </row>
    <row r="133" spans="1:4" x14ac:dyDescent="0.3">
      <c r="A133" t="s">
        <v>687</v>
      </c>
      <c r="B133" t="s">
        <v>811</v>
      </c>
      <c r="C133" t="s">
        <v>814</v>
      </c>
      <c r="D133" t="s">
        <v>1076</v>
      </c>
    </row>
    <row r="134" spans="1:4" x14ac:dyDescent="0.3">
      <c r="A134" t="s">
        <v>687</v>
      </c>
      <c r="B134" t="s">
        <v>811</v>
      </c>
      <c r="C134" t="s">
        <v>814</v>
      </c>
      <c r="D134" t="s">
        <v>1077</v>
      </c>
    </row>
    <row r="135" spans="1:4" x14ac:dyDescent="0.3">
      <c r="A135" t="s">
        <v>687</v>
      </c>
      <c r="B135" t="s">
        <v>811</v>
      </c>
      <c r="C135" t="s">
        <v>814</v>
      </c>
      <c r="D135" t="s">
        <v>1078</v>
      </c>
    </row>
    <row r="136" spans="1:4" x14ac:dyDescent="0.3">
      <c r="A136" t="s">
        <v>687</v>
      </c>
      <c r="B136" t="s">
        <v>811</v>
      </c>
      <c r="C136" t="s">
        <v>816</v>
      </c>
    </row>
    <row r="137" spans="1:4" x14ac:dyDescent="0.3">
      <c r="A137" t="s">
        <v>687</v>
      </c>
      <c r="B137" t="s">
        <v>811</v>
      </c>
      <c r="C137" t="s">
        <v>817</v>
      </c>
      <c r="D137" t="s">
        <v>1079</v>
      </c>
    </row>
    <row r="138" spans="1:4" x14ac:dyDescent="0.3">
      <c r="A138" t="s">
        <v>687</v>
      </c>
      <c r="B138" t="s">
        <v>811</v>
      </c>
      <c r="C138" t="s">
        <v>819</v>
      </c>
      <c r="D138" t="s">
        <v>1080</v>
      </c>
    </row>
    <row r="139" spans="1:4" x14ac:dyDescent="0.3">
      <c r="A139" t="s">
        <v>687</v>
      </c>
      <c r="B139" t="s">
        <v>811</v>
      </c>
      <c r="C139" t="s">
        <v>819</v>
      </c>
      <c r="D139" t="s">
        <v>1081</v>
      </c>
    </row>
    <row r="140" spans="1:4" x14ac:dyDescent="0.3">
      <c r="A140" t="s">
        <v>687</v>
      </c>
      <c r="B140" t="s">
        <v>811</v>
      </c>
      <c r="C140" t="s">
        <v>820</v>
      </c>
    </row>
    <row r="141" spans="1:4" x14ac:dyDescent="0.3">
      <c r="A141" t="s">
        <v>687</v>
      </c>
      <c r="B141" t="s">
        <v>811</v>
      </c>
      <c r="C141" t="s">
        <v>821</v>
      </c>
    </row>
    <row r="142" spans="1:4" x14ac:dyDescent="0.3">
      <c r="A142" t="s">
        <v>687</v>
      </c>
      <c r="B142" t="s">
        <v>811</v>
      </c>
      <c r="C142" t="s">
        <v>822</v>
      </c>
    </row>
    <row r="143" spans="1:4" x14ac:dyDescent="0.3">
      <c r="A143" t="s">
        <v>687</v>
      </c>
      <c r="B143" t="s">
        <v>811</v>
      </c>
      <c r="C143" t="s">
        <v>823</v>
      </c>
    </row>
    <row r="144" spans="1:4" x14ac:dyDescent="0.3">
      <c r="A144" t="s">
        <v>687</v>
      </c>
      <c r="B144" t="s">
        <v>824</v>
      </c>
      <c r="C144" t="s">
        <v>825</v>
      </c>
    </row>
    <row r="145" spans="1:4" x14ac:dyDescent="0.3">
      <c r="A145" t="s">
        <v>687</v>
      </c>
      <c r="B145" t="s">
        <v>824</v>
      </c>
      <c r="C145" t="s">
        <v>826</v>
      </c>
      <c r="D145" t="s">
        <v>1082</v>
      </c>
    </row>
    <row r="146" spans="1:4" x14ac:dyDescent="0.3">
      <c r="A146" t="s">
        <v>687</v>
      </c>
      <c r="B146" t="s">
        <v>824</v>
      </c>
      <c r="C146" t="s">
        <v>828</v>
      </c>
      <c r="D146" t="s">
        <v>1083</v>
      </c>
    </row>
    <row r="147" spans="1:4" x14ac:dyDescent="0.3">
      <c r="A147" t="s">
        <v>687</v>
      </c>
      <c r="B147" t="s">
        <v>824</v>
      </c>
      <c r="C147" t="s">
        <v>830</v>
      </c>
    </row>
    <row r="148" spans="1:4" x14ac:dyDescent="0.3">
      <c r="A148" t="s">
        <v>687</v>
      </c>
      <c r="B148" t="s">
        <v>824</v>
      </c>
      <c r="C148" t="s">
        <v>831</v>
      </c>
      <c r="D148" t="s">
        <v>1084</v>
      </c>
    </row>
    <row r="149" spans="1:4" x14ac:dyDescent="0.3">
      <c r="A149" t="s">
        <v>687</v>
      </c>
      <c r="B149" t="s">
        <v>824</v>
      </c>
      <c r="C149" t="s">
        <v>831</v>
      </c>
      <c r="D149" t="s">
        <v>1085</v>
      </c>
    </row>
    <row r="150" spans="1:4" x14ac:dyDescent="0.3">
      <c r="A150" t="s">
        <v>687</v>
      </c>
      <c r="B150" t="s">
        <v>824</v>
      </c>
      <c r="C150" t="s">
        <v>831</v>
      </c>
      <c r="D150" t="s">
        <v>1086</v>
      </c>
    </row>
    <row r="151" spans="1:4" x14ac:dyDescent="0.3">
      <c r="A151" t="s">
        <v>687</v>
      </c>
      <c r="B151" t="s">
        <v>824</v>
      </c>
      <c r="C151" t="s">
        <v>831</v>
      </c>
      <c r="D151" t="s">
        <v>1087</v>
      </c>
    </row>
    <row r="152" spans="1:4" x14ac:dyDescent="0.3">
      <c r="A152" t="s">
        <v>687</v>
      </c>
      <c r="B152" t="s">
        <v>824</v>
      </c>
      <c r="C152" t="s">
        <v>833</v>
      </c>
    </row>
    <row r="153" spans="1:4" x14ac:dyDescent="0.3">
      <c r="A153" t="s">
        <v>687</v>
      </c>
      <c r="B153" t="s">
        <v>824</v>
      </c>
      <c r="C153" t="s">
        <v>834</v>
      </c>
    </row>
    <row r="154" spans="1:4" x14ac:dyDescent="0.3">
      <c r="A154" t="s">
        <v>687</v>
      </c>
      <c r="B154" t="s">
        <v>824</v>
      </c>
      <c r="C154" t="s">
        <v>835</v>
      </c>
    </row>
    <row r="155" spans="1:4" x14ac:dyDescent="0.3">
      <c r="A155" t="s">
        <v>687</v>
      </c>
      <c r="B155" t="s">
        <v>824</v>
      </c>
      <c r="C155" t="s">
        <v>836</v>
      </c>
    </row>
    <row r="156" spans="1:4" x14ac:dyDescent="0.3">
      <c r="A156" t="s">
        <v>687</v>
      </c>
      <c r="B156" t="s">
        <v>824</v>
      </c>
      <c r="C156" t="s">
        <v>837</v>
      </c>
    </row>
    <row r="157" spans="1:4" x14ac:dyDescent="0.3">
      <c r="A157" t="s">
        <v>687</v>
      </c>
      <c r="B157" t="s">
        <v>824</v>
      </c>
      <c r="C157" t="s">
        <v>839</v>
      </c>
      <c r="D157" t="s">
        <v>1088</v>
      </c>
    </row>
    <row r="158" spans="1:4" x14ac:dyDescent="0.3">
      <c r="A158" t="s">
        <v>687</v>
      </c>
      <c r="B158" t="s">
        <v>824</v>
      </c>
      <c r="C158" t="s">
        <v>841</v>
      </c>
      <c r="D158" t="s">
        <v>1089</v>
      </c>
    </row>
    <row r="159" spans="1:4" x14ac:dyDescent="0.3">
      <c r="A159" t="s">
        <v>687</v>
      </c>
      <c r="B159" t="s">
        <v>824</v>
      </c>
      <c r="C159" t="s">
        <v>843</v>
      </c>
    </row>
    <row r="160" spans="1:4" x14ac:dyDescent="0.3">
      <c r="A160" t="s">
        <v>687</v>
      </c>
      <c r="B160" t="s">
        <v>824</v>
      </c>
      <c r="C160" t="s">
        <v>845</v>
      </c>
    </row>
    <row r="161" spans="1:4" x14ac:dyDescent="0.3">
      <c r="A161" t="s">
        <v>687</v>
      </c>
      <c r="B161" t="s">
        <v>824</v>
      </c>
      <c r="C161" t="s">
        <v>847</v>
      </c>
    </row>
    <row r="162" spans="1:4" x14ac:dyDescent="0.3">
      <c r="A162" t="s">
        <v>687</v>
      </c>
      <c r="B162" t="s">
        <v>824</v>
      </c>
      <c r="C162" t="s">
        <v>849</v>
      </c>
    </row>
    <row r="163" spans="1:4" x14ac:dyDescent="0.3">
      <c r="A163" t="s">
        <v>687</v>
      </c>
      <c r="B163" t="s">
        <v>824</v>
      </c>
      <c r="C163" t="s">
        <v>852</v>
      </c>
    </row>
    <row r="164" spans="1:4" x14ac:dyDescent="0.3">
      <c r="A164" t="s">
        <v>687</v>
      </c>
      <c r="B164" t="s">
        <v>824</v>
      </c>
      <c r="C164" t="s">
        <v>854</v>
      </c>
    </row>
    <row r="165" spans="1:4" x14ac:dyDescent="0.3">
      <c r="A165" t="s">
        <v>687</v>
      </c>
      <c r="B165" t="s">
        <v>824</v>
      </c>
      <c r="C165" t="s">
        <v>855</v>
      </c>
    </row>
    <row r="166" spans="1:4" x14ac:dyDescent="0.3">
      <c r="A166" t="s">
        <v>687</v>
      </c>
      <c r="B166" t="s">
        <v>824</v>
      </c>
      <c r="C166" t="s">
        <v>856</v>
      </c>
    </row>
    <row r="167" spans="1:4" x14ac:dyDescent="0.3">
      <c r="A167" t="s">
        <v>687</v>
      </c>
      <c r="B167" t="s">
        <v>824</v>
      </c>
      <c r="C167" t="s">
        <v>1090</v>
      </c>
      <c r="D167" t="s">
        <v>1091</v>
      </c>
    </row>
    <row r="168" spans="1:4" x14ac:dyDescent="0.3">
      <c r="A168" t="s">
        <v>687</v>
      </c>
      <c r="B168" t="s">
        <v>824</v>
      </c>
      <c r="C168" t="s">
        <v>1090</v>
      </c>
      <c r="D168" t="s">
        <v>1092</v>
      </c>
    </row>
    <row r="169" spans="1:4" x14ac:dyDescent="0.3">
      <c r="A169" t="s">
        <v>687</v>
      </c>
      <c r="B169" t="s">
        <v>857</v>
      </c>
      <c r="C169" t="s">
        <v>858</v>
      </c>
      <c r="D169" t="s">
        <v>1093</v>
      </c>
    </row>
    <row r="170" spans="1:4" x14ac:dyDescent="0.3">
      <c r="A170" t="s">
        <v>687</v>
      </c>
      <c r="B170" t="s">
        <v>857</v>
      </c>
      <c r="C170" t="s">
        <v>859</v>
      </c>
    </row>
    <row r="171" spans="1:4" x14ac:dyDescent="0.3">
      <c r="A171" t="s">
        <v>687</v>
      </c>
      <c r="B171" t="s">
        <v>857</v>
      </c>
      <c r="C171" t="s">
        <v>860</v>
      </c>
    </row>
    <row r="172" spans="1:4" x14ac:dyDescent="0.3">
      <c r="A172" t="s">
        <v>687</v>
      </c>
      <c r="B172" t="s">
        <v>857</v>
      </c>
      <c r="C172" t="s">
        <v>861</v>
      </c>
    </row>
    <row r="173" spans="1:4" x14ac:dyDescent="0.3">
      <c r="A173" t="s">
        <v>687</v>
      </c>
      <c r="B173" t="s">
        <v>857</v>
      </c>
      <c r="C173" t="s">
        <v>862</v>
      </c>
    </row>
    <row r="174" spans="1:4" x14ac:dyDescent="0.3">
      <c r="A174" t="s">
        <v>687</v>
      </c>
      <c r="B174" t="s">
        <v>857</v>
      </c>
      <c r="C174" t="s">
        <v>863</v>
      </c>
    </row>
    <row r="175" spans="1:4" x14ac:dyDescent="0.3">
      <c r="A175" t="s">
        <v>687</v>
      </c>
      <c r="B175" t="s">
        <v>857</v>
      </c>
      <c r="C175" t="s">
        <v>864</v>
      </c>
    </row>
    <row r="176" spans="1:4" x14ac:dyDescent="0.3">
      <c r="A176" t="s">
        <v>687</v>
      </c>
      <c r="B176" t="s">
        <v>857</v>
      </c>
      <c r="C176" t="s">
        <v>865</v>
      </c>
    </row>
    <row r="177" spans="1:4" x14ac:dyDescent="0.3">
      <c r="A177" t="s">
        <v>687</v>
      </c>
      <c r="B177" t="s">
        <v>857</v>
      </c>
      <c r="C177" t="s">
        <v>866</v>
      </c>
    </row>
    <row r="178" spans="1:4" x14ac:dyDescent="0.3">
      <c r="A178" t="s">
        <v>687</v>
      </c>
      <c r="B178" t="s">
        <v>857</v>
      </c>
      <c r="C178" t="s">
        <v>867</v>
      </c>
    </row>
    <row r="179" spans="1:4" x14ac:dyDescent="0.3">
      <c r="A179" t="s">
        <v>687</v>
      </c>
      <c r="B179" t="s">
        <v>857</v>
      </c>
      <c r="C179" t="s">
        <v>868</v>
      </c>
    </row>
    <row r="180" spans="1:4" x14ac:dyDescent="0.3">
      <c r="A180" t="s">
        <v>687</v>
      </c>
      <c r="B180" t="s">
        <v>857</v>
      </c>
      <c r="C180" t="s">
        <v>869</v>
      </c>
    </row>
    <row r="181" spans="1:4" x14ac:dyDescent="0.3">
      <c r="A181" t="s">
        <v>687</v>
      </c>
      <c r="B181" t="s">
        <v>857</v>
      </c>
      <c r="C181" t="s">
        <v>870</v>
      </c>
    </row>
    <row r="182" spans="1:4" x14ac:dyDescent="0.3">
      <c r="A182" t="s">
        <v>687</v>
      </c>
      <c r="B182" t="s">
        <v>857</v>
      </c>
      <c r="C182" t="s">
        <v>871</v>
      </c>
    </row>
    <row r="183" spans="1:4" x14ac:dyDescent="0.3">
      <c r="A183" t="s">
        <v>687</v>
      </c>
      <c r="B183" t="s">
        <v>857</v>
      </c>
      <c r="C183" t="s">
        <v>872</v>
      </c>
    </row>
    <row r="184" spans="1:4" x14ac:dyDescent="0.3">
      <c r="A184" t="s">
        <v>687</v>
      </c>
      <c r="B184" t="s">
        <v>857</v>
      </c>
      <c r="C184" t="s">
        <v>873</v>
      </c>
    </row>
    <row r="185" spans="1:4" x14ac:dyDescent="0.3">
      <c r="A185" t="s">
        <v>687</v>
      </c>
      <c r="B185" t="s">
        <v>857</v>
      </c>
      <c r="C185" t="s">
        <v>874</v>
      </c>
    </row>
    <row r="186" spans="1:4" x14ac:dyDescent="0.3">
      <c r="A186" t="s">
        <v>687</v>
      </c>
      <c r="B186" t="s">
        <v>875</v>
      </c>
      <c r="C186" t="s">
        <v>876</v>
      </c>
    </row>
    <row r="187" spans="1:4" x14ac:dyDescent="0.3">
      <c r="A187" t="s">
        <v>687</v>
      </c>
      <c r="B187" t="s">
        <v>875</v>
      </c>
      <c r="C187" t="s">
        <v>877</v>
      </c>
    </row>
    <row r="188" spans="1:4" x14ac:dyDescent="0.3">
      <c r="A188" t="s">
        <v>687</v>
      </c>
      <c r="B188" t="s">
        <v>875</v>
      </c>
      <c r="C188" t="s">
        <v>878</v>
      </c>
    </row>
    <row r="189" spans="1:4" x14ac:dyDescent="0.3">
      <c r="A189" t="s">
        <v>687</v>
      </c>
      <c r="B189" t="s">
        <v>879</v>
      </c>
      <c r="C189" t="s">
        <v>881</v>
      </c>
    </row>
    <row r="190" spans="1:4" x14ac:dyDescent="0.3">
      <c r="A190" t="s">
        <v>687</v>
      </c>
      <c r="B190" t="s">
        <v>879</v>
      </c>
      <c r="C190" t="s">
        <v>882</v>
      </c>
      <c r="D190" t="s">
        <v>1094</v>
      </c>
    </row>
    <row r="191" spans="1:4" x14ac:dyDescent="0.3">
      <c r="A191" t="s">
        <v>687</v>
      </c>
      <c r="B191" t="s">
        <v>879</v>
      </c>
      <c r="C191" t="s">
        <v>883</v>
      </c>
      <c r="D191" t="s">
        <v>1095</v>
      </c>
    </row>
    <row r="192" spans="1:4" x14ac:dyDescent="0.3">
      <c r="A192" t="s">
        <v>687</v>
      </c>
      <c r="B192" t="s">
        <v>879</v>
      </c>
      <c r="C192" t="s">
        <v>883</v>
      </c>
      <c r="D192" t="s">
        <v>1096</v>
      </c>
    </row>
    <row r="193" spans="1:4" x14ac:dyDescent="0.3">
      <c r="A193" t="s">
        <v>687</v>
      </c>
      <c r="B193" t="s">
        <v>879</v>
      </c>
      <c r="C193" t="s">
        <v>1097</v>
      </c>
      <c r="D193" t="s">
        <v>1098</v>
      </c>
    </row>
    <row r="194" spans="1:4" x14ac:dyDescent="0.3">
      <c r="A194" t="s">
        <v>687</v>
      </c>
      <c r="B194" t="s">
        <v>884</v>
      </c>
      <c r="C194" t="s">
        <v>885</v>
      </c>
    </row>
    <row r="195" spans="1:4" x14ac:dyDescent="0.3">
      <c r="A195" t="s">
        <v>687</v>
      </c>
      <c r="B195" t="s">
        <v>884</v>
      </c>
      <c r="C195" t="s">
        <v>886</v>
      </c>
      <c r="D195" t="s">
        <v>1099</v>
      </c>
    </row>
    <row r="196" spans="1:4" x14ac:dyDescent="0.3">
      <c r="A196" t="s">
        <v>687</v>
      </c>
      <c r="B196" t="s">
        <v>884</v>
      </c>
      <c r="C196" t="s">
        <v>886</v>
      </c>
      <c r="D196" t="s">
        <v>1100</v>
      </c>
    </row>
    <row r="197" spans="1:4" x14ac:dyDescent="0.3">
      <c r="A197" t="s">
        <v>687</v>
      </c>
      <c r="B197" t="s">
        <v>887</v>
      </c>
      <c r="C197" t="s">
        <v>888</v>
      </c>
    </row>
    <row r="198" spans="1:4" x14ac:dyDescent="0.3">
      <c r="A198" t="s">
        <v>687</v>
      </c>
      <c r="B198" t="s">
        <v>887</v>
      </c>
      <c r="C198" t="s">
        <v>889</v>
      </c>
    </row>
    <row r="199" spans="1:4" x14ac:dyDescent="0.3">
      <c r="A199" t="s">
        <v>687</v>
      </c>
      <c r="B199" t="s">
        <v>887</v>
      </c>
      <c r="C199" t="s">
        <v>890</v>
      </c>
    </row>
    <row r="200" spans="1:4" x14ac:dyDescent="0.3">
      <c r="A200" t="s">
        <v>688</v>
      </c>
      <c r="B200" t="s">
        <v>893</v>
      </c>
      <c r="C200" t="s">
        <v>895</v>
      </c>
    </row>
    <row r="201" spans="1:4" x14ac:dyDescent="0.3">
      <c r="A201" t="s">
        <v>688</v>
      </c>
      <c r="B201" t="s">
        <v>893</v>
      </c>
      <c r="C201" t="s">
        <v>896</v>
      </c>
      <c r="D201" t="s">
        <v>1101</v>
      </c>
    </row>
    <row r="202" spans="1:4" x14ac:dyDescent="0.3">
      <c r="A202" t="s">
        <v>688</v>
      </c>
      <c r="B202" t="s">
        <v>893</v>
      </c>
      <c r="C202" t="s">
        <v>897</v>
      </c>
    </row>
    <row r="203" spans="1:4" x14ac:dyDescent="0.3">
      <c r="A203" t="s">
        <v>688</v>
      </c>
      <c r="B203" t="s">
        <v>893</v>
      </c>
      <c r="C203" t="s">
        <v>898</v>
      </c>
    </row>
    <row r="204" spans="1:4" x14ac:dyDescent="0.3">
      <c r="A204" t="s">
        <v>688</v>
      </c>
      <c r="B204" t="s">
        <v>893</v>
      </c>
      <c r="C204" t="s">
        <v>899</v>
      </c>
      <c r="D204" t="s">
        <v>1102</v>
      </c>
    </row>
    <row r="205" spans="1:4" x14ac:dyDescent="0.3">
      <c r="A205" t="s">
        <v>688</v>
      </c>
      <c r="B205" t="s">
        <v>893</v>
      </c>
      <c r="C205" t="s">
        <v>899</v>
      </c>
      <c r="D205" t="s">
        <v>1103</v>
      </c>
    </row>
    <row r="206" spans="1:4" x14ac:dyDescent="0.3">
      <c r="A206" t="s">
        <v>688</v>
      </c>
      <c r="B206" t="s">
        <v>893</v>
      </c>
      <c r="C206" t="s">
        <v>900</v>
      </c>
    </row>
    <row r="207" spans="1:4" x14ac:dyDescent="0.3">
      <c r="A207" t="s">
        <v>688</v>
      </c>
      <c r="B207" t="s">
        <v>893</v>
      </c>
      <c r="C207" t="s">
        <v>901</v>
      </c>
      <c r="D207" t="s">
        <v>1104</v>
      </c>
    </row>
    <row r="208" spans="1:4" x14ac:dyDescent="0.3">
      <c r="A208" t="s">
        <v>688</v>
      </c>
      <c r="B208" t="s">
        <v>902</v>
      </c>
      <c r="C208" t="s">
        <v>904</v>
      </c>
    </row>
    <row r="209" spans="1:4" x14ac:dyDescent="0.3">
      <c r="A209" t="s">
        <v>688</v>
      </c>
      <c r="B209" t="s">
        <v>902</v>
      </c>
      <c r="C209" t="s">
        <v>906</v>
      </c>
    </row>
    <row r="210" spans="1:4" x14ac:dyDescent="0.3">
      <c r="A210" t="s">
        <v>688</v>
      </c>
      <c r="B210" t="s">
        <v>902</v>
      </c>
      <c r="C210" t="s">
        <v>907</v>
      </c>
      <c r="D210" t="s">
        <v>1105</v>
      </c>
    </row>
    <row r="211" spans="1:4" x14ac:dyDescent="0.3">
      <c r="A211" t="s">
        <v>688</v>
      </c>
      <c r="B211" t="s">
        <v>902</v>
      </c>
      <c r="C211" t="s">
        <v>907</v>
      </c>
      <c r="D211" t="s">
        <v>1106</v>
      </c>
    </row>
    <row r="212" spans="1:4" x14ac:dyDescent="0.3">
      <c r="A212" t="s">
        <v>688</v>
      </c>
      <c r="B212" t="s">
        <v>902</v>
      </c>
      <c r="C212" t="s">
        <v>907</v>
      </c>
      <c r="D212" t="s">
        <v>1107</v>
      </c>
    </row>
    <row r="213" spans="1:4" x14ac:dyDescent="0.3">
      <c r="A213" t="s">
        <v>688</v>
      </c>
      <c r="B213" t="s">
        <v>902</v>
      </c>
      <c r="C213" t="s">
        <v>907</v>
      </c>
      <c r="D213" t="s">
        <v>1108</v>
      </c>
    </row>
    <row r="214" spans="1:4" x14ac:dyDescent="0.3">
      <c r="A214" t="s">
        <v>688</v>
      </c>
      <c r="B214" t="s">
        <v>902</v>
      </c>
      <c r="C214" t="s">
        <v>907</v>
      </c>
      <c r="D214" t="s">
        <v>1109</v>
      </c>
    </row>
    <row r="215" spans="1:4" x14ac:dyDescent="0.3">
      <c r="A215" t="s">
        <v>688</v>
      </c>
      <c r="B215" t="s">
        <v>902</v>
      </c>
      <c r="C215" t="s">
        <v>907</v>
      </c>
      <c r="D215" t="s">
        <v>1110</v>
      </c>
    </row>
    <row r="216" spans="1:4" x14ac:dyDescent="0.3">
      <c r="A216" t="s">
        <v>688</v>
      </c>
      <c r="B216" t="s">
        <v>902</v>
      </c>
      <c r="C216" t="s">
        <v>907</v>
      </c>
      <c r="D216" t="s">
        <v>1111</v>
      </c>
    </row>
    <row r="217" spans="1:4" x14ac:dyDescent="0.3">
      <c r="A217" t="s">
        <v>688</v>
      </c>
      <c r="B217" t="s">
        <v>902</v>
      </c>
      <c r="C217" t="s">
        <v>907</v>
      </c>
      <c r="D217" t="s">
        <v>1112</v>
      </c>
    </row>
    <row r="218" spans="1:4" x14ac:dyDescent="0.3">
      <c r="A218" t="s">
        <v>688</v>
      </c>
      <c r="B218" t="s">
        <v>902</v>
      </c>
      <c r="C218" t="s">
        <v>907</v>
      </c>
      <c r="D218" t="s">
        <v>1113</v>
      </c>
    </row>
    <row r="219" spans="1:4" x14ac:dyDescent="0.3">
      <c r="A219" t="s">
        <v>688</v>
      </c>
      <c r="B219" t="s">
        <v>902</v>
      </c>
      <c r="C219" t="s">
        <v>907</v>
      </c>
      <c r="D219" t="s">
        <v>1114</v>
      </c>
    </row>
    <row r="220" spans="1:4" x14ac:dyDescent="0.3">
      <c r="A220" t="s">
        <v>688</v>
      </c>
      <c r="B220" t="s">
        <v>902</v>
      </c>
      <c r="C220" t="s">
        <v>907</v>
      </c>
      <c r="D220" t="s">
        <v>1115</v>
      </c>
    </row>
    <row r="221" spans="1:4" x14ac:dyDescent="0.3">
      <c r="A221" t="s">
        <v>688</v>
      </c>
      <c r="B221" t="s">
        <v>902</v>
      </c>
      <c r="C221" t="s">
        <v>907</v>
      </c>
      <c r="D221" t="s">
        <v>1116</v>
      </c>
    </row>
    <row r="222" spans="1:4" x14ac:dyDescent="0.3">
      <c r="A222" t="s">
        <v>688</v>
      </c>
      <c r="B222" t="s">
        <v>902</v>
      </c>
      <c r="C222" t="s">
        <v>907</v>
      </c>
      <c r="D222" t="s">
        <v>1117</v>
      </c>
    </row>
    <row r="223" spans="1:4" x14ac:dyDescent="0.3">
      <c r="A223" t="s">
        <v>688</v>
      </c>
      <c r="B223" t="s">
        <v>902</v>
      </c>
      <c r="C223" t="s">
        <v>911</v>
      </c>
      <c r="D223" t="s">
        <v>1118</v>
      </c>
    </row>
    <row r="224" spans="1:4" x14ac:dyDescent="0.3">
      <c r="A224" t="s">
        <v>688</v>
      </c>
      <c r="B224" t="s">
        <v>902</v>
      </c>
      <c r="C224" t="s">
        <v>911</v>
      </c>
      <c r="D224" t="s">
        <v>1119</v>
      </c>
    </row>
    <row r="225" spans="1:4" x14ac:dyDescent="0.3">
      <c r="A225" t="s">
        <v>688</v>
      </c>
      <c r="B225" t="s">
        <v>902</v>
      </c>
      <c r="C225" t="s">
        <v>911</v>
      </c>
      <c r="D225" t="s">
        <v>1120</v>
      </c>
    </row>
    <row r="226" spans="1:4" x14ac:dyDescent="0.3">
      <c r="A226" t="s">
        <v>688</v>
      </c>
      <c r="B226" t="s">
        <v>902</v>
      </c>
      <c r="C226" t="s">
        <v>911</v>
      </c>
      <c r="D226" t="s">
        <v>1121</v>
      </c>
    </row>
    <row r="227" spans="1:4" x14ac:dyDescent="0.3">
      <c r="A227" t="s">
        <v>688</v>
      </c>
      <c r="B227" t="s">
        <v>902</v>
      </c>
      <c r="C227" t="s">
        <v>912</v>
      </c>
    </row>
    <row r="228" spans="1:4" x14ac:dyDescent="0.3">
      <c r="A228" t="s">
        <v>688</v>
      </c>
      <c r="B228" t="s">
        <v>913</v>
      </c>
      <c r="C228" t="s">
        <v>915</v>
      </c>
    </row>
    <row r="229" spans="1:4" x14ac:dyDescent="0.3">
      <c r="A229" t="s">
        <v>688</v>
      </c>
      <c r="B229" t="s">
        <v>913</v>
      </c>
      <c r="C229" t="s">
        <v>916</v>
      </c>
    </row>
    <row r="230" spans="1:4" x14ac:dyDescent="0.3">
      <c r="A230" t="s">
        <v>688</v>
      </c>
      <c r="B230" t="s">
        <v>913</v>
      </c>
      <c r="C230" t="s">
        <v>917</v>
      </c>
      <c r="D230" t="s">
        <v>1122</v>
      </c>
    </row>
    <row r="231" spans="1:4" x14ac:dyDescent="0.3">
      <c r="A231" t="s">
        <v>688</v>
      </c>
      <c r="B231" t="s">
        <v>913</v>
      </c>
      <c r="C231" t="s">
        <v>918</v>
      </c>
    </row>
    <row r="232" spans="1:4" x14ac:dyDescent="0.3">
      <c r="A232" t="s">
        <v>688</v>
      </c>
      <c r="B232" t="s">
        <v>913</v>
      </c>
      <c r="C232" t="s">
        <v>919</v>
      </c>
    </row>
    <row r="233" spans="1:4" x14ac:dyDescent="0.3">
      <c r="A233" t="s">
        <v>688</v>
      </c>
      <c r="B233" t="s">
        <v>913</v>
      </c>
      <c r="C233" t="s">
        <v>920</v>
      </c>
      <c r="D233" t="s">
        <v>1123</v>
      </c>
    </row>
    <row r="234" spans="1:4" x14ac:dyDescent="0.3">
      <c r="A234" t="s">
        <v>688</v>
      </c>
      <c r="B234" t="s">
        <v>913</v>
      </c>
      <c r="C234" t="s">
        <v>920</v>
      </c>
      <c r="D234" t="s">
        <v>1124</v>
      </c>
    </row>
    <row r="235" spans="1:4" x14ac:dyDescent="0.3">
      <c r="A235" t="s">
        <v>688</v>
      </c>
      <c r="B235" t="s">
        <v>921</v>
      </c>
      <c r="C235" t="s">
        <v>922</v>
      </c>
    </row>
    <row r="236" spans="1:4" x14ac:dyDescent="0.3">
      <c r="A236" t="s">
        <v>688</v>
      </c>
      <c r="B236" t="s">
        <v>921</v>
      </c>
      <c r="C236" t="s">
        <v>923</v>
      </c>
    </row>
    <row r="237" spans="1:4" x14ac:dyDescent="0.3">
      <c r="A237" t="s">
        <v>688</v>
      </c>
      <c r="B237" t="s">
        <v>921</v>
      </c>
      <c r="C237" t="s">
        <v>924</v>
      </c>
      <c r="D237" t="s">
        <v>1125</v>
      </c>
    </row>
    <row r="238" spans="1:4" x14ac:dyDescent="0.3">
      <c r="A238" t="s">
        <v>688</v>
      </c>
      <c r="B238" t="s">
        <v>921</v>
      </c>
      <c r="C238" t="s">
        <v>924</v>
      </c>
      <c r="D238" t="s">
        <v>1126</v>
      </c>
    </row>
    <row r="239" spans="1:4" x14ac:dyDescent="0.3">
      <c r="A239" t="s">
        <v>688</v>
      </c>
      <c r="B239" t="s">
        <v>921</v>
      </c>
      <c r="C239" t="s">
        <v>924</v>
      </c>
      <c r="D239" t="s">
        <v>1127</v>
      </c>
    </row>
    <row r="240" spans="1:4" x14ac:dyDescent="0.3">
      <c r="A240" t="s">
        <v>688</v>
      </c>
      <c r="B240" t="s">
        <v>921</v>
      </c>
      <c r="C240" t="s">
        <v>924</v>
      </c>
      <c r="D240" t="s">
        <v>1128</v>
      </c>
    </row>
    <row r="241" spans="1:4" x14ac:dyDescent="0.3">
      <c r="A241" t="s">
        <v>688</v>
      </c>
      <c r="B241" t="s">
        <v>921</v>
      </c>
      <c r="C241" t="s">
        <v>925</v>
      </c>
    </row>
    <row r="242" spans="1:4" x14ac:dyDescent="0.3">
      <c r="A242" t="s">
        <v>689</v>
      </c>
      <c r="B242" t="s">
        <v>927</v>
      </c>
      <c r="C242" t="s">
        <v>928</v>
      </c>
    </row>
    <row r="243" spans="1:4" x14ac:dyDescent="0.3">
      <c r="A243" t="s">
        <v>689</v>
      </c>
      <c r="B243" t="s">
        <v>927</v>
      </c>
      <c r="C243" t="s">
        <v>929</v>
      </c>
    </row>
    <row r="244" spans="1:4" x14ac:dyDescent="0.3">
      <c r="A244" t="s">
        <v>689</v>
      </c>
      <c r="B244" t="s">
        <v>927</v>
      </c>
      <c r="C244" t="s">
        <v>930</v>
      </c>
    </row>
    <row r="245" spans="1:4" x14ac:dyDescent="0.3">
      <c r="A245" t="s">
        <v>689</v>
      </c>
      <c r="B245" t="s">
        <v>927</v>
      </c>
      <c r="C245" t="s">
        <v>931</v>
      </c>
    </row>
    <row r="246" spans="1:4" x14ac:dyDescent="0.3">
      <c r="A246" t="s">
        <v>689</v>
      </c>
      <c r="B246" t="s">
        <v>927</v>
      </c>
      <c r="C246" t="s">
        <v>932</v>
      </c>
    </row>
    <row r="247" spans="1:4" x14ac:dyDescent="0.3">
      <c r="A247" t="s">
        <v>689</v>
      </c>
      <c r="B247" t="s">
        <v>927</v>
      </c>
      <c r="C247" t="s">
        <v>933</v>
      </c>
    </row>
    <row r="248" spans="1:4" x14ac:dyDescent="0.3">
      <c r="A248" t="s">
        <v>689</v>
      </c>
      <c r="B248" t="s">
        <v>934</v>
      </c>
      <c r="C248" t="s">
        <v>935</v>
      </c>
      <c r="D248" t="s">
        <v>1129</v>
      </c>
    </row>
    <row r="249" spans="1:4" x14ac:dyDescent="0.3">
      <c r="A249" t="s">
        <v>689</v>
      </c>
      <c r="B249" t="s">
        <v>934</v>
      </c>
      <c r="C249" t="s">
        <v>935</v>
      </c>
      <c r="D249" t="s">
        <v>1130</v>
      </c>
    </row>
    <row r="250" spans="1:4" x14ac:dyDescent="0.3">
      <c r="A250" t="s">
        <v>689</v>
      </c>
      <c r="B250" t="s">
        <v>934</v>
      </c>
      <c r="C250" t="s">
        <v>936</v>
      </c>
    </row>
    <row r="251" spans="1:4" x14ac:dyDescent="0.3">
      <c r="A251" t="s">
        <v>689</v>
      </c>
      <c r="B251" t="s">
        <v>934</v>
      </c>
      <c r="C251" t="s">
        <v>937</v>
      </c>
      <c r="D251" t="s">
        <v>1131</v>
      </c>
    </row>
    <row r="252" spans="1:4" x14ac:dyDescent="0.3">
      <c r="A252" t="s">
        <v>689</v>
      </c>
      <c r="B252" t="s">
        <v>934</v>
      </c>
      <c r="C252" t="s">
        <v>938</v>
      </c>
    </row>
    <row r="253" spans="1:4" x14ac:dyDescent="0.3">
      <c r="A253" t="s">
        <v>689</v>
      </c>
      <c r="B253" t="s">
        <v>934</v>
      </c>
      <c r="C253" t="s">
        <v>939</v>
      </c>
      <c r="D253" t="s">
        <v>1132</v>
      </c>
    </row>
    <row r="254" spans="1:4" x14ac:dyDescent="0.3">
      <c r="A254" t="s">
        <v>689</v>
      </c>
      <c r="B254" t="s">
        <v>934</v>
      </c>
      <c r="C254" t="s">
        <v>940</v>
      </c>
    </row>
    <row r="255" spans="1:4" x14ac:dyDescent="0.3">
      <c r="A255" t="s">
        <v>689</v>
      </c>
      <c r="B255" t="s">
        <v>941</v>
      </c>
      <c r="C255" t="s">
        <v>942</v>
      </c>
      <c r="D255" t="s">
        <v>942</v>
      </c>
    </row>
    <row r="256" spans="1:4" x14ac:dyDescent="0.3">
      <c r="A256" t="s">
        <v>689</v>
      </c>
      <c r="B256" t="s">
        <v>941</v>
      </c>
      <c r="C256" t="s">
        <v>943</v>
      </c>
      <c r="D256" t="s">
        <v>943</v>
      </c>
    </row>
    <row r="257" spans="1:4" x14ac:dyDescent="0.3">
      <c r="A257" t="s">
        <v>689</v>
      </c>
      <c r="B257" t="s">
        <v>941</v>
      </c>
      <c r="C257" t="s">
        <v>944</v>
      </c>
      <c r="D257" t="s">
        <v>944</v>
      </c>
    </row>
    <row r="258" spans="1:4" x14ac:dyDescent="0.3">
      <c r="A258" t="s">
        <v>689</v>
      </c>
      <c r="B258" t="s">
        <v>945</v>
      </c>
      <c r="C258" t="s">
        <v>946</v>
      </c>
    </row>
    <row r="259" spans="1:4" x14ac:dyDescent="0.3">
      <c r="A259" t="s">
        <v>689</v>
      </c>
      <c r="B259" t="s">
        <v>945</v>
      </c>
      <c r="C259" t="s">
        <v>947</v>
      </c>
    </row>
    <row r="260" spans="1:4" x14ac:dyDescent="0.3">
      <c r="A260" t="s">
        <v>689</v>
      </c>
      <c r="B260" t="s">
        <v>945</v>
      </c>
      <c r="C260" t="s">
        <v>948</v>
      </c>
    </row>
    <row r="261" spans="1:4" x14ac:dyDescent="0.3">
      <c r="A261" t="s">
        <v>689</v>
      </c>
      <c r="B261" t="s">
        <v>949</v>
      </c>
      <c r="C261" t="s">
        <v>950</v>
      </c>
    </row>
    <row r="262" spans="1:4" x14ac:dyDescent="0.3">
      <c r="A262" t="s">
        <v>689</v>
      </c>
      <c r="B262" t="s">
        <v>949</v>
      </c>
      <c r="C262" t="s">
        <v>951</v>
      </c>
      <c r="D262" t="s">
        <v>1134</v>
      </c>
    </row>
    <row r="263" spans="1:4" x14ac:dyDescent="0.3">
      <c r="A263" t="s">
        <v>689</v>
      </c>
      <c r="B263" t="s">
        <v>949</v>
      </c>
      <c r="C263" t="s">
        <v>951</v>
      </c>
      <c r="D263" t="s">
        <v>1133</v>
      </c>
    </row>
    <row r="264" spans="1:4" x14ac:dyDescent="0.3">
      <c r="A264" t="s">
        <v>689</v>
      </c>
      <c r="B264" t="s">
        <v>949</v>
      </c>
      <c r="C264" t="s">
        <v>951</v>
      </c>
      <c r="D264" t="s">
        <v>1135</v>
      </c>
    </row>
    <row r="265" spans="1:4" x14ac:dyDescent="0.3">
      <c r="A265" t="s">
        <v>689</v>
      </c>
      <c r="B265" t="s">
        <v>949</v>
      </c>
      <c r="C265" t="s">
        <v>952</v>
      </c>
    </row>
    <row r="266" spans="1:4" x14ac:dyDescent="0.3">
      <c r="A266" t="s">
        <v>689</v>
      </c>
      <c r="B266" t="s">
        <v>953</v>
      </c>
      <c r="C266" t="s">
        <v>954</v>
      </c>
    </row>
    <row r="267" spans="1:4" x14ac:dyDescent="0.3">
      <c r="A267" t="s">
        <v>689</v>
      </c>
      <c r="B267" t="s">
        <v>953</v>
      </c>
      <c r="C267" t="s">
        <v>955</v>
      </c>
    </row>
    <row r="268" spans="1:4" x14ac:dyDescent="0.3">
      <c r="A268" t="s">
        <v>689</v>
      </c>
      <c r="B268" t="s">
        <v>956</v>
      </c>
      <c r="C268" t="s">
        <v>957</v>
      </c>
    </row>
    <row r="269" spans="1:4" x14ac:dyDescent="0.3">
      <c r="A269" t="s">
        <v>689</v>
      </c>
      <c r="B269" t="s">
        <v>956</v>
      </c>
      <c r="C269" t="s">
        <v>958</v>
      </c>
    </row>
    <row r="270" spans="1:4" x14ac:dyDescent="0.3">
      <c r="A270" t="s">
        <v>689</v>
      </c>
      <c r="B270" t="s">
        <v>956</v>
      </c>
      <c r="C270" t="s">
        <v>959</v>
      </c>
    </row>
    <row r="271" spans="1:4" x14ac:dyDescent="0.3">
      <c r="A271" t="s">
        <v>689</v>
      </c>
      <c r="B271" t="s">
        <v>956</v>
      </c>
      <c r="C271" t="s">
        <v>960</v>
      </c>
    </row>
    <row r="272" spans="1:4" x14ac:dyDescent="0.3">
      <c r="A272" t="s">
        <v>690</v>
      </c>
      <c r="B272" t="s">
        <v>962</v>
      </c>
      <c r="C272" t="s">
        <v>962</v>
      </c>
      <c r="D272" t="s">
        <v>962</v>
      </c>
    </row>
    <row r="273" spans="1:4" x14ac:dyDescent="0.3">
      <c r="A273" t="s">
        <v>690</v>
      </c>
      <c r="B273" t="s">
        <v>965</v>
      </c>
      <c r="C273" t="s">
        <v>965</v>
      </c>
    </row>
    <row r="274" spans="1:4" x14ac:dyDescent="0.3">
      <c r="A274" t="s">
        <v>690</v>
      </c>
      <c r="B274" t="s">
        <v>966</v>
      </c>
      <c r="C274" t="s">
        <v>966</v>
      </c>
      <c r="D274" t="s">
        <v>1136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76A0-6BA9-48B7-860D-09D1F90AE85C}">
  <dimension ref="A1:D7"/>
  <sheetViews>
    <sheetView tabSelected="1" workbookViewId="0">
      <selection activeCell="D12" sqref="D12"/>
    </sheetView>
  </sheetViews>
  <sheetFormatPr defaultRowHeight="14.4" x14ac:dyDescent="0.3"/>
  <cols>
    <col min="1" max="1" width="23.5546875" customWidth="1"/>
    <col min="2" max="2" width="25.33203125" customWidth="1"/>
    <col min="3" max="3" width="18.109375" customWidth="1"/>
    <col min="4" max="4" width="45" customWidth="1"/>
  </cols>
  <sheetData>
    <row r="1" spans="1:4" x14ac:dyDescent="0.3">
      <c r="A1" t="s">
        <v>662</v>
      </c>
      <c r="B1" t="s">
        <v>663</v>
      </c>
      <c r="C1" t="s">
        <v>674</v>
      </c>
      <c r="D1" t="s">
        <v>680</v>
      </c>
    </row>
    <row r="2" spans="1:4" x14ac:dyDescent="0.3">
      <c r="A2" t="s">
        <v>664</v>
      </c>
      <c r="B2" t="s">
        <v>669</v>
      </c>
      <c r="C2" s="1" t="s">
        <v>679</v>
      </c>
      <c r="D2" t="s">
        <v>681</v>
      </c>
    </row>
    <row r="3" spans="1:4" x14ac:dyDescent="0.3">
      <c r="A3" t="s">
        <v>665</v>
      </c>
      <c r="B3" t="s">
        <v>670</v>
      </c>
      <c r="C3" s="1" t="s">
        <v>675</v>
      </c>
      <c r="D3" t="s">
        <v>683</v>
      </c>
    </row>
    <row r="4" spans="1:4" x14ac:dyDescent="0.3">
      <c r="A4" t="s">
        <v>666</v>
      </c>
      <c r="B4" t="s">
        <v>671</v>
      </c>
      <c r="C4" s="1" t="s">
        <v>678</v>
      </c>
      <c r="D4" t="s">
        <v>682</v>
      </c>
    </row>
    <row r="5" spans="1:4" x14ac:dyDescent="0.3">
      <c r="A5" t="s">
        <v>667</v>
      </c>
      <c r="B5" t="s">
        <v>672</v>
      </c>
      <c r="C5" s="1" t="s">
        <v>676</v>
      </c>
      <c r="D5" t="s">
        <v>684</v>
      </c>
    </row>
    <row r="6" spans="1:4" x14ac:dyDescent="0.3">
      <c r="A6" t="s">
        <v>668</v>
      </c>
      <c r="B6" t="s">
        <v>673</v>
      </c>
      <c r="C6" s="1" t="s">
        <v>677</v>
      </c>
      <c r="D6" t="s">
        <v>685</v>
      </c>
    </row>
    <row r="7" spans="1:4" x14ac:dyDescent="0.3">
      <c r="A7" s="202" t="s">
        <v>1146</v>
      </c>
      <c r="B7" t="s">
        <v>1144</v>
      </c>
      <c r="C7" t="s">
        <v>1145</v>
      </c>
      <c r="D7" t="s">
        <v>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Penjabaran</vt:lpstr>
      <vt:lpstr>Master_DPA</vt:lpstr>
      <vt:lpstr>Penjabaran (2)</vt:lpstr>
      <vt:lpstr>Penjabaran (3)</vt:lpstr>
      <vt:lpstr>Bidang</vt:lpstr>
      <vt:lpstr>User</vt:lpstr>
      <vt:lpstr>Penjabaran!Print_Titles</vt:lpstr>
      <vt:lpstr>'Penjabaran (2)'!Print_Titles</vt:lpstr>
      <vt:lpstr>'Penjabaran 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Sekdes</dc:creator>
  <cp:lastModifiedBy>Herman Dwi</cp:lastModifiedBy>
  <dcterms:created xsi:type="dcterms:W3CDTF">2026-07-18T06:04:07Z</dcterms:created>
  <dcterms:modified xsi:type="dcterms:W3CDTF">2026-07-22T05:45:14Z</dcterms:modified>
</cp:coreProperties>
</file>